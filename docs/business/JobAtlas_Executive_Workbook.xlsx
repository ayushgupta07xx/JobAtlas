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ivotTables/pivotTable1.xml" ContentType="application/vnd.openxmlformats-officedocument.spreadsheetml.pivotTable+xml"/>
  <Override PartName="/xl/comments4.xml" ContentType="application/vnd.openxmlformats-officedocument.spreadsheetml.comments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5E879B6-F4FC-4F42-9271-C588DD042B1A}" xr6:coauthVersionLast="47" xr6:coauthVersionMax="47" xr10:uidLastSave="{00000000-0000-0000-0000-000000000000}"/>
  <bookViews>
    <workbookView xWindow="-108" yWindow="-108" windowWidth="23256" windowHeight="12456" tabRatio="918" firstSheet="2" activeTab="5" xr2:uid="{00000000-000D-0000-FFFF-FFFF00000000}"/>
  </bookViews>
  <sheets>
    <sheet name="Summary" sheetId="1" r:id="rId1"/>
    <sheet name="Market_Sizing" sheetId="2" r:id="rId2"/>
    <sheet name="Financials" sheetId="3" r:id="rId3"/>
    <sheet name="Scenarios" sheetId="4" r:id="rId4"/>
    <sheet name="Cohorts" sheetId="5" r:id="rId5"/>
    <sheet name="Cohort_Pivot" sheetId="13" r:id="rId6"/>
    <sheet name="Funnel_Analysis" sheetId="6" r:id="rId7"/>
    <sheet name="Funnel_Pivot" sheetId="12" r:id="rId8"/>
    <sheet name="Skill_Demand" sheetId="7" r:id="rId9"/>
    <sheet name="Skills_Pivot" sheetId="11" r:id="rId10"/>
    <sheet name="Competitive_Landscape" sheetId="8" r:id="rId11"/>
    <sheet name="Persona_Sizing" sheetId="9" r:id="rId12"/>
    <sheet name="OKRs" sheetId="10" r:id="rId13"/>
  </sheets>
  <definedNames>
    <definedName name="AB_Lift">Funnel_Analysis!$C$11</definedName>
    <definedName name="AB_Prob">Funnel_Analysis!$C$12</definedName>
    <definedName name="adoption">Scenarios!$C$6</definedName>
    <definedName name="dup_rate">Summary!$B$6</definedName>
    <definedName name="freshness">Summary!$B$7</definedName>
    <definedName name="IRR_Project">Financials!$B$33</definedName>
    <definedName name="JA_Score">Competitive_Landscape!$G$12</definedName>
    <definedName name="jobs_indexed">Summary!$B$5</definedName>
    <definedName name="match_p95">Summary!$B$8</definedName>
    <definedName name="NPV_Enterprise">Financials!$B$32</definedName>
    <definedName name="SOM_value">Market_Sizing!$C$11</definedName>
    <definedName name="take_rate">Scenarios!$C$5</definedName>
    <definedName name="TAM">Market_Sizing!$B$5</definedName>
    <definedName name="WACC">Financials!$B$5</definedName>
    <definedName name="YoY">Market_Sizing!$B$6</definedName>
  </definedNames>
  <calcPr calcId="191029" iterateDelta="1E-4"/>
  <pivotCaches>
    <pivotCache cacheId="4" r:id="rId14"/>
    <pivotCache cacheId="10" r:id="rId15"/>
    <pivotCache cacheId="15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4" i="10" l="1"/>
  <c r="D13" i="10"/>
  <c r="D11" i="10"/>
  <c r="D10" i="10"/>
  <c r="D8" i="10"/>
  <c r="D7" i="10"/>
  <c r="D6" i="10"/>
  <c r="B13" i="9"/>
  <c r="F7" i="9"/>
  <c r="F6" i="9"/>
  <c r="F5" i="9"/>
  <c r="E19" i="8"/>
  <c r="E18" i="8"/>
  <c r="B18" i="8"/>
  <c r="E17" i="8"/>
  <c r="E16" i="8"/>
  <c r="B16" i="8"/>
  <c r="E15" i="8"/>
  <c r="G12" i="8"/>
  <c r="F12" i="8"/>
  <c r="E12" i="8"/>
  <c r="D12" i="8"/>
  <c r="C12" i="8"/>
  <c r="M17" i="7"/>
  <c r="L17" i="7"/>
  <c r="K17" i="7"/>
  <c r="J17" i="7"/>
  <c r="I17" i="7"/>
  <c r="H17" i="7"/>
  <c r="G17" i="7"/>
  <c r="F17" i="7"/>
  <c r="M16" i="7"/>
  <c r="L16" i="7"/>
  <c r="K16" i="7"/>
  <c r="J16" i="7"/>
  <c r="I16" i="7"/>
  <c r="H16" i="7"/>
  <c r="G16" i="7"/>
  <c r="F16" i="7"/>
  <c r="M15" i="7"/>
  <c r="L15" i="7"/>
  <c r="K15" i="7"/>
  <c r="J15" i="7"/>
  <c r="I15" i="7"/>
  <c r="H15" i="7"/>
  <c r="G15" i="7"/>
  <c r="F15" i="7"/>
  <c r="M14" i="7"/>
  <c r="L14" i="7"/>
  <c r="K14" i="7"/>
  <c r="J14" i="7"/>
  <c r="I14" i="7"/>
  <c r="H14" i="7"/>
  <c r="G14" i="7"/>
  <c r="F14" i="7"/>
  <c r="M13" i="7"/>
  <c r="L13" i="7"/>
  <c r="K13" i="7"/>
  <c r="J13" i="7"/>
  <c r="I13" i="7"/>
  <c r="H13" i="7"/>
  <c r="G13" i="7"/>
  <c r="F13" i="7"/>
  <c r="M12" i="7"/>
  <c r="L12" i="7"/>
  <c r="K12" i="7"/>
  <c r="J12" i="7"/>
  <c r="I12" i="7"/>
  <c r="H12" i="7"/>
  <c r="G12" i="7"/>
  <c r="F12" i="7"/>
  <c r="M11" i="7"/>
  <c r="L11" i="7"/>
  <c r="K11" i="7"/>
  <c r="J11" i="7"/>
  <c r="I11" i="7"/>
  <c r="H11" i="7"/>
  <c r="G11" i="7"/>
  <c r="F11" i="7"/>
  <c r="M10" i="7"/>
  <c r="L10" i="7"/>
  <c r="K10" i="7"/>
  <c r="J10" i="7"/>
  <c r="I10" i="7"/>
  <c r="H10" i="7"/>
  <c r="G10" i="7"/>
  <c r="F10" i="7"/>
  <c r="M9" i="7"/>
  <c r="L9" i="7"/>
  <c r="K9" i="7"/>
  <c r="J9" i="7"/>
  <c r="I9" i="7"/>
  <c r="H9" i="7"/>
  <c r="G9" i="7"/>
  <c r="F9" i="7"/>
  <c r="M8" i="7"/>
  <c r="L8" i="7"/>
  <c r="K8" i="7"/>
  <c r="J8" i="7"/>
  <c r="I8" i="7"/>
  <c r="H8" i="7"/>
  <c r="G8" i="7"/>
  <c r="F8" i="7"/>
  <c r="M7" i="7"/>
  <c r="L7" i="7"/>
  <c r="K7" i="7"/>
  <c r="J7" i="7"/>
  <c r="I7" i="7"/>
  <c r="H7" i="7"/>
  <c r="G7" i="7"/>
  <c r="F7" i="7"/>
  <c r="M6" i="7"/>
  <c r="L6" i="7"/>
  <c r="K6" i="7"/>
  <c r="J6" i="7"/>
  <c r="I6" i="7"/>
  <c r="H6" i="7"/>
  <c r="G6" i="7"/>
  <c r="F6" i="7"/>
  <c r="C20" i="6"/>
  <c r="B20" i="6"/>
  <c r="H13" i="6"/>
  <c r="H12" i="6"/>
  <c r="H11" i="6"/>
  <c r="H10" i="6"/>
  <c r="C10" i="6"/>
  <c r="B10" i="6"/>
  <c r="H9" i="6"/>
  <c r="H8" i="6"/>
  <c r="D8" i="6"/>
  <c r="H7" i="6"/>
  <c r="D7" i="6"/>
  <c r="H6" i="6"/>
  <c r="D6" i="6"/>
  <c r="D5" i="6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F18" i="5"/>
  <c r="E18" i="5"/>
  <c r="D18" i="5"/>
  <c r="C18" i="5"/>
  <c r="H17" i="5"/>
  <c r="F17" i="5"/>
  <c r="E17" i="5"/>
  <c r="D17" i="5"/>
  <c r="C17" i="5"/>
  <c r="H16" i="5"/>
  <c r="F16" i="5"/>
  <c r="E16" i="5"/>
  <c r="D16" i="5"/>
  <c r="C16" i="5"/>
  <c r="H15" i="5"/>
  <c r="F15" i="5"/>
  <c r="E15" i="5"/>
  <c r="D15" i="5"/>
  <c r="C15" i="5"/>
  <c r="H14" i="5"/>
  <c r="F14" i="5"/>
  <c r="E14" i="5"/>
  <c r="D14" i="5"/>
  <c r="C14" i="5"/>
  <c r="F13" i="5"/>
  <c r="E13" i="5"/>
  <c r="D13" i="5"/>
  <c r="C13" i="5"/>
  <c r="B26" i="3"/>
  <c r="G25" i="3"/>
  <c r="F25" i="3"/>
  <c r="E25" i="3"/>
  <c r="D25" i="3"/>
  <c r="C25" i="3"/>
  <c r="B25" i="3"/>
  <c r="B16" i="2"/>
  <c r="B10" i="2"/>
  <c r="C9" i="2"/>
  <c r="B9" i="2"/>
  <c r="E11" i="1"/>
  <c r="E10" i="1"/>
  <c r="E6" i="1"/>
  <c r="E5" i="1"/>
  <c r="J21" i="5" l="1"/>
  <c r="B27" i="3"/>
  <c r="B18" i="2"/>
  <c r="C10" i="2"/>
  <c r="C11" i="2" s="1"/>
  <c r="J35" i="5"/>
  <c r="J34" i="5"/>
  <c r="J32" i="5"/>
  <c r="J31" i="5"/>
  <c r="J30" i="5"/>
  <c r="J27" i="5"/>
  <c r="J25" i="5"/>
  <c r="J23" i="5"/>
  <c r="J19" i="5"/>
  <c r="J17" i="5"/>
  <c r="E13" i="10"/>
  <c r="J26" i="5"/>
  <c r="J15" i="5"/>
  <c r="E14" i="10"/>
  <c r="E11" i="10"/>
  <c r="E10" i="10"/>
  <c r="E8" i="10"/>
  <c r="E7" i="10"/>
  <c r="E6" i="10"/>
  <c r="B14" i="9"/>
  <c r="F9" i="9"/>
  <c r="C11" i="6"/>
  <c r="E9" i="1" s="1"/>
  <c r="D10" i="6"/>
  <c r="J37" i="5"/>
  <c r="J36" i="5"/>
  <c r="J33" i="5"/>
  <c r="J29" i="5"/>
  <c r="J28" i="5"/>
  <c r="J24" i="5"/>
  <c r="J22" i="5"/>
  <c r="J20" i="5"/>
  <c r="J18" i="5"/>
  <c r="J16" i="5"/>
  <c r="J14" i="5"/>
  <c r="B11" i="3" l="1"/>
  <c r="B7" i="4"/>
  <c r="C15" i="3" l="1"/>
  <c r="D15" i="3"/>
  <c r="E15" i="3"/>
  <c r="F15" i="3"/>
  <c r="G15" i="3"/>
  <c r="E14" i="4"/>
  <c r="F15" i="4"/>
  <c r="B18" i="4"/>
  <c r="C8" i="4"/>
  <c r="C14" i="4"/>
  <c r="B15" i="4"/>
  <c r="B16" i="4"/>
  <c r="C16" i="4"/>
  <c r="B17" i="4"/>
  <c r="F17" i="4"/>
  <c r="E18" i="4"/>
  <c r="B8" i="4"/>
  <c r="D8" i="4"/>
  <c r="D14" i="4"/>
  <c r="F14" i="4"/>
  <c r="D15" i="4"/>
  <c r="E16" i="4"/>
  <c r="C17" i="4"/>
  <c r="E17" i="4"/>
  <c r="D18" i="4"/>
  <c r="B14" i="4"/>
  <c r="C15" i="4"/>
  <c r="E15" i="4"/>
  <c r="D16" i="4"/>
  <c r="F16" i="4"/>
  <c r="D17" i="4"/>
  <c r="C18" i="4"/>
  <c r="F18" i="4"/>
  <c r="C16" i="3" l="1"/>
  <c r="C17" i="3"/>
  <c r="C18" i="3"/>
  <c r="D16" i="3"/>
  <c r="D17" i="3"/>
  <c r="D19" i="3" s="1"/>
  <c r="D18" i="3"/>
  <c r="E16" i="3"/>
  <c r="E17" i="3"/>
  <c r="E18" i="3"/>
  <c r="F16" i="3"/>
  <c r="F17" i="3"/>
  <c r="F18" i="3"/>
  <c r="G16" i="3"/>
  <c r="G17" i="3"/>
  <c r="G18" i="3"/>
  <c r="D20" i="3" l="1"/>
  <c r="D21" i="3"/>
  <c r="E19" i="3"/>
  <c r="F19" i="3"/>
  <c r="G19" i="3"/>
  <c r="C19" i="3"/>
  <c r="E21" i="3" l="1"/>
  <c r="E20" i="3"/>
  <c r="F21" i="3"/>
  <c r="F20" i="3"/>
  <c r="G21" i="3"/>
  <c r="G20" i="3"/>
  <c r="C21" i="3"/>
  <c r="C20" i="3"/>
  <c r="D22" i="3"/>
  <c r="D26" i="3" s="1"/>
  <c r="F22" i="3" l="1"/>
  <c r="F26" i="3" s="1"/>
  <c r="C22" i="3"/>
  <c r="C26" i="3" s="1"/>
  <c r="E22" i="3"/>
  <c r="E26" i="3" s="1"/>
  <c r="G22" i="3"/>
  <c r="G26" i="3" s="1"/>
  <c r="B29" i="3" s="1"/>
  <c r="B30" i="3" s="1"/>
  <c r="B31" i="3" l="1"/>
  <c r="B32" i="3" s="1"/>
  <c r="E7" i="1" s="1"/>
  <c r="D41" i="3"/>
  <c r="C41" i="3"/>
  <c r="B41" i="3"/>
  <c r="D40" i="3"/>
  <c r="E39" i="3"/>
  <c r="B34" i="3"/>
  <c r="B43" i="3"/>
  <c r="E43" i="3"/>
  <c r="D43" i="3"/>
  <c r="C43" i="3"/>
  <c r="E42" i="3"/>
  <c r="D42" i="3"/>
  <c r="C42" i="3"/>
  <c r="B42" i="3"/>
  <c r="E41" i="3"/>
  <c r="E40" i="3"/>
  <c r="C40" i="3"/>
  <c r="B40" i="3"/>
  <c r="D39" i="3"/>
  <c r="C39" i="3"/>
  <c r="B39" i="3"/>
  <c r="B33" i="3"/>
  <c r="E8" i="1" s="1"/>
  <c r="C27" i="3"/>
  <c r="D27" i="3" l="1"/>
  <c r="E27" i="3" s="1"/>
  <c r="F27" i="3" s="1"/>
  <c r="G27" i="3" s="1"/>
  <c r="B46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5" authorId="0" shapeId="0" xr:uid="{00000000-0006-0000-0000-000001000000}">
      <text>
        <r>
          <rPr>
            <sz val="10"/>
            <rFont val="Arial"/>
            <family val="2"/>
          </rPr>
          <t>Source: staging.jobs snapshot 2026-06-03</t>
        </r>
      </text>
    </comment>
    <comment ref="B6" authorId="0" shapeId="0" xr:uid="{00000000-0006-0000-0000-000002000000}">
      <text>
        <r>
          <rPr>
            <sz val="10"/>
            <rFont val="Arial"/>
            <family val="2"/>
          </rPr>
          <t>Source: dedup KPI, snapshot 2026-06-03</t>
        </r>
      </text>
    </comment>
    <comment ref="B7" authorId="0" shapeId="0" xr:uid="{00000000-0006-0000-0000-000003000000}">
      <text>
        <r>
          <rPr>
            <sz val="10"/>
            <rFont val="Arial"/>
            <family val="2"/>
          </rPr>
          <t>Source: snapshot 2026-06-03</t>
        </r>
      </text>
    </comment>
    <comment ref="B8" authorId="0" shapeId="0" xr:uid="{00000000-0006-0000-0000-000004000000}">
      <text>
        <r>
          <rPr>
            <sz val="10"/>
            <rFont val="Arial"/>
            <family val="2"/>
          </rPr>
          <t>Source: scripts/bench_match_latency.py, 200 runs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5" authorId="0" shapeId="0" xr:uid="{00000000-0006-0000-0100-000001000000}">
      <text>
        <r>
          <rPr>
            <sz val="10"/>
            <rFont val="Arial"/>
            <family val="2"/>
          </rPr>
          <t>Source: §16 BA bullet; Indian online recruitment market est., 2026</t>
        </r>
      </text>
    </comment>
    <comment ref="B6" authorId="0" shapeId="0" xr:uid="{00000000-0006-0000-0100-000002000000}">
      <text>
        <r>
          <rPr>
            <sz val="10"/>
            <rFont val="Arial"/>
            <family val="2"/>
          </rPr>
          <t>Source: §16 BA bullet, 22% YoY</t>
        </r>
      </text>
    </comment>
    <comment ref="B11" authorId="0" shapeId="0" xr:uid="{00000000-0006-0000-0100-000003000000}">
      <text>
        <r>
          <rPr>
            <sz val="10"/>
            <rFont val="Arial"/>
            <family val="2"/>
          </rPr>
          <t>Year-5 obtainable share of SAM</t>
        </r>
      </text>
    </comment>
    <comment ref="B14" authorId="0" shapeId="0" xr:uid="{00000000-0006-0000-0100-000004000000}">
      <text>
        <r>
          <rPr>
            <sz val="10"/>
            <rFont val="Arial"/>
            <family val="2"/>
          </rPr>
          <t>Est. active tech-hiring employers</t>
        </r>
      </text>
    </comment>
    <comment ref="B17" authorId="0" shapeId="0" xr:uid="{00000000-0006-0000-0100-000005000000}">
      <text>
        <r>
          <rPr>
            <sz val="10"/>
            <rFont val="Arial"/>
            <family val="2"/>
          </rPr>
          <t>Sourcing/discovery seat, annual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5" authorId="0" shapeId="0" xr:uid="{00000000-0006-0000-0200-000001000000}">
      <text>
        <r>
          <rPr>
            <sz val="10"/>
            <rFont val="Arial"/>
            <family val="2"/>
          </rPr>
          <t>Early-stage India SaaS discount rate</t>
        </r>
      </text>
    </comment>
    <comment ref="B10" authorId="0" shapeId="0" xr:uid="{00000000-0006-0000-0200-000002000000}">
      <text>
        <r>
          <rPr>
            <sz val="10"/>
            <rFont val="Arial"/>
            <family val="2"/>
          </rPr>
          <t>Seed build + GTM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2" authorId="0" shapeId="0" xr:uid="{00000000-0006-0000-0500-000001000000}">
      <text>
        <r>
          <rPr>
            <sz val="10"/>
            <rFont val="Arial"/>
            <family val="2"/>
          </rPr>
          <t>PostHog Bayesian, docs/experiments/match-algo-v2.md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5" authorId="0" shapeId="0" xr:uid="{00000000-0006-0000-0700-000001000000}">
      <text>
        <r>
          <rPr>
            <sz val="10"/>
            <rFont val="Arial"/>
            <family val="2"/>
          </rPr>
          <t>Change to look up any competitor</t>
        </r>
      </text>
    </comment>
  </commentList>
</comments>
</file>

<file path=xl/sharedStrings.xml><?xml version="1.0" encoding="utf-8"?>
<sst xmlns="http://schemas.openxmlformats.org/spreadsheetml/2006/main" count="2071" uniqueCount="373">
  <si>
    <t>JobAtlas India — Executive Workbook</t>
  </si>
  <si>
    <t>Snapshot 2026-06-03 (scripts/export_dashboard_data.py). Funnel = simulated cohort, pre-launch. Cohorts = modeled projection.</t>
  </si>
  <si>
    <t>Operating KPIs</t>
  </si>
  <si>
    <t>Value</t>
  </si>
  <si>
    <t>Business case</t>
  </si>
  <si>
    <t>Jobs indexed</t>
  </si>
  <si>
    <t>TAM — online recruitment (Rs cr)</t>
  </si>
  <si>
    <t>Duplicate rate</t>
  </si>
  <si>
    <t>Market YoY growth</t>
  </si>
  <si>
    <t>Freshness (posted &lt;=30d)</t>
  </si>
  <si>
    <t>5-yr enterprise NPV (Rs cr)</t>
  </si>
  <si>
    <t>Match latency p95</t>
  </si>
  <si>
    <t>Project IRR</t>
  </si>
  <si>
    <t>A/B apply-click lift (test)</t>
  </si>
  <si>
    <t>A/B P(test better)</t>
  </si>
  <si>
    <t>JobAtlas competitive score</t>
  </si>
  <si>
    <t>Narrative</t>
  </si>
  <si>
    <t>India's tech hiring is fragmented across 8+ portals. JobAtlas unifies six into one</t>
  </si>
  <si>
    <t>deduplicated, salary-normalized, semantically-matched index. The match ranker was</t>
  </si>
  <si>
    <t>validated against a simulated cohort (skill-weighted reranking, +10.3% apply-clicks,</t>
  </si>
  <si>
    <t>P=98.6%). This workbook sizes the market, models 5-year economics, and tracks Q1 OKRs.</t>
  </si>
  <si>
    <t>Market Sizing — Indian Online Recruitment</t>
  </si>
  <si>
    <t>Top-down + bottoms-up. Inputs in blue; all else formula-driven.</t>
  </si>
  <si>
    <t>Assumptions</t>
  </si>
  <si>
    <t>TAM 2026 — online recruitment (Rs cr)</t>
  </si>
  <si>
    <t>Top-down</t>
  </si>
  <si>
    <t>Share</t>
  </si>
  <si>
    <t>Value (Rs cr)</t>
  </si>
  <si>
    <t>TAM — total online recruitment</t>
  </si>
  <si>
    <t>SAM — tech / IT hiring segment</t>
  </si>
  <si>
    <t>SOM — Year-5 obtainable share</t>
  </si>
  <si>
    <t>Bottoms-up</t>
  </si>
  <si>
    <t>Addressable tech employers (India)</t>
  </si>
  <si>
    <t>Reachable share (Year 5)</t>
  </si>
  <si>
    <t>Paying employers (Year 5)</t>
  </si>
  <si>
    <t>Annual ARPU (Rs)</t>
  </si>
  <si>
    <t>Bottoms-up SOM (Rs cr)</t>
  </si>
  <si>
    <t>Segment share table</t>
  </si>
  <si>
    <t>All sectors</t>
  </si>
  <si>
    <t>Tech/IT</t>
  </si>
  <si>
    <t>BFSI</t>
  </si>
  <si>
    <t>Other</t>
  </si>
  <si>
    <t>Top-down SOM and bottoms-up SOM are reconciled as a sanity cross-check on the Year-5 target.</t>
  </si>
  <si>
    <t>5-Year DCF — JobAtlas (Rs crore)</t>
  </si>
  <si>
    <t>Revenue ramps the obtainable SOM by adoption. Inputs blue, links green.</t>
  </si>
  <si>
    <t>WACC</t>
  </si>
  <si>
    <t>Terminal growth (g)</t>
  </si>
  <si>
    <t>Tax rate</t>
  </si>
  <si>
    <t>COGS % revenue</t>
  </si>
  <si>
    <t>OpEx % revenue</t>
  </si>
  <si>
    <t>Initial investment Y0 (Rs cr)</t>
  </si>
  <si>
    <t>Obtainable revenue pool (Rs cr)</t>
  </si>
  <si>
    <t>Adoption ramp (% of pool)</t>
  </si>
  <si>
    <t>P&amp;L</t>
  </si>
  <si>
    <t>2026</t>
  </si>
  <si>
    <t>2027</t>
  </si>
  <si>
    <t>2028</t>
  </si>
  <si>
    <t>2029</t>
  </si>
  <si>
    <t>2030</t>
  </si>
  <si>
    <t>Revenue</t>
  </si>
  <si>
    <t>COGS</t>
  </si>
  <si>
    <t>Gross profit</t>
  </si>
  <si>
    <t>OpEx</t>
  </si>
  <si>
    <t>EBITDA</t>
  </si>
  <si>
    <t>EBITDA margin</t>
  </si>
  <si>
    <t>Tax</t>
  </si>
  <si>
    <t>NOPAT / FCF</t>
  </si>
  <si>
    <t>Cash flow &amp; valuation</t>
  </si>
  <si>
    <t>Y0</t>
  </si>
  <si>
    <t>Date</t>
  </si>
  <si>
    <t>Free cash flow</t>
  </si>
  <si>
    <t>Cumulative FCF</t>
  </si>
  <si>
    <t>Valuation</t>
  </si>
  <si>
    <t>Terminal value (Rs cr)</t>
  </si>
  <si>
    <t>PV of terminal value</t>
  </si>
  <si>
    <t>NPV of FCF (Y1-Y5)</t>
  </si>
  <si>
    <t>Enterprise NPV</t>
  </si>
  <si>
    <t>XNPV (dated)</t>
  </si>
  <si>
    <t>WACC x terminal-growth sensitivity — Enterprise NPV (Rs cr)</t>
  </si>
  <si>
    <t>WACC \ g</t>
  </si>
  <si>
    <t>Break-even</t>
  </si>
  <si>
    <t>Cash break-even (year cumulative FCF &gt;= 0)</t>
  </si>
  <si>
    <t>Cumulative FCF (row 27) turns positive this year — the project's cash break-even point.</t>
  </si>
  <si>
    <t>Scenario &amp; Sensitivity Analysis</t>
  </si>
  <si>
    <t>Base / Bull / Bear vary take-rate x adoption. Grid below is a live formula sensitivity table.</t>
  </si>
  <si>
    <t>Driver</t>
  </si>
  <si>
    <t>Bear</t>
  </si>
  <si>
    <t>Base</t>
  </si>
  <si>
    <t>Bull</t>
  </si>
  <si>
    <t>Take-rate (% of pool monetized)</t>
  </si>
  <si>
    <t>Year-5 adoption (% of SOM)</t>
  </si>
  <si>
    <t>Monetizable base (Rs cr)</t>
  </si>
  <si>
    <t>Year-5 revenue (Rs cr)</t>
  </si>
  <si>
    <t>Y5 revenue indexed to Base: base x (take/base-take) x (adopt/base-adopt). Base reconciles to Financials Y5.</t>
  </si>
  <si>
    <t>Sensitivity — Year-5 revenue (Rs cr): take-rate (rows) x adoption (cols)</t>
  </si>
  <si>
    <t>take \ adopt</t>
  </si>
  <si>
    <t>Weekly Retention — Modeled Projection</t>
  </si>
  <si>
    <t>MODELED pre-launch assumption, not measured. Instrumentation live (apps/frontend/lib/analytics.ts);</t>
  </si>
  <si>
    <t>retention measured once organic traffic exists. Decay applied to each cohort's new users.</t>
  </si>
  <si>
    <t>Retention assumptions</t>
  </si>
  <si>
    <t>Cohort definitions (PostHog)</t>
  </si>
  <si>
    <t>W1 retention</t>
  </si>
  <si>
    <t>Weekly retention (W1/W2/W4/W8)</t>
  </si>
  <si>
    <t>W2 retention</t>
  </si>
  <si>
    <t>Sticky users (DAU/MAU&gt;0.2)</t>
  </si>
  <si>
    <t>W4 retention</t>
  </si>
  <si>
    <t>Power users (5+ sessions/30d)</t>
  </si>
  <si>
    <t>W8 retention</t>
  </si>
  <si>
    <t>Resume-uploaders (qualified)</t>
  </si>
  <si>
    <t>Cohort uplift / wk</t>
  </si>
  <si>
    <t>Cohort</t>
  </si>
  <si>
    <t>New users</t>
  </si>
  <si>
    <t>W1</t>
  </si>
  <si>
    <t>W2</t>
  </si>
  <si>
    <t>W4</t>
  </si>
  <si>
    <t>W8</t>
  </si>
  <si>
    <t>Pivot source (long)</t>
  </si>
  <si>
    <t>2026-W18</t>
  </si>
  <si>
    <t>cohort</t>
  </si>
  <si>
    <t>week</t>
  </si>
  <si>
    <t>retained</t>
  </si>
  <si>
    <t>2026-W19</t>
  </si>
  <si>
    <t>2026-W20</t>
  </si>
  <si>
    <t>2026-W21</t>
  </si>
  <si>
    <t>2026-W22</t>
  </si>
  <si>
    <t>2026-W23</t>
  </si>
  <si>
    <t>Insert &gt; PivotTable on H13:J37  (rows=cohort, cols=week, values=Sum of retained).</t>
  </si>
  <si>
    <t>Match Funnel — A/B (Simulated Cohort)</t>
  </si>
  <si>
    <t>SIMULATED cohort, pre-launch (scripts/simulate_match_traffic.py). See docs/experiments/match-algo-v2.md.</t>
  </si>
  <si>
    <t>Funnel step</t>
  </si>
  <si>
    <t>control</t>
  </si>
  <si>
    <t>test</t>
  </si>
  <si>
    <t>combined</t>
  </si>
  <si>
    <t>resume_uploaded</t>
  </si>
  <si>
    <t>arm</t>
  </si>
  <si>
    <t>step</t>
  </si>
  <si>
    <t>count</t>
  </si>
  <si>
    <t>match_requested</t>
  </si>
  <si>
    <t>match_score_revealed</t>
  </si>
  <si>
    <t>apply_clicked</t>
  </si>
  <si>
    <t>Conversion (apply / reveal)</t>
  </si>
  <si>
    <t>Relative lift (test vs control)</t>
  </si>
  <si>
    <t>P(test better)</t>
  </si>
  <si>
    <t>95% credible interval — low</t>
  </si>
  <si>
    <t>95% credible interval — high</t>
  </si>
  <si>
    <t>Insert &gt; PivotTable on F5:H13 (rows=step, cols=arm, values=Sum of count).</t>
  </si>
  <si>
    <t>Discovery guardrail (search -&gt; view)</t>
  </si>
  <si>
    <t>search_executed</t>
  </si>
  <si>
    <t>job_viewed</t>
  </si>
  <si>
    <t>search -&gt; view rate</t>
  </si>
  <si>
    <t>Guardrail flat (~54% both arms); latency p95 ~6.0 ms (17x under target). No regression.</t>
  </si>
  <si>
    <t>Skill Demand by City</t>
  </si>
  <si>
    <t>Source: skills_by_city.csv (top-30 skills x city), snapshot 2026-06-03. Cross-tab uses SUMIFS; raw table is pivot-ready.</t>
  </si>
  <si>
    <t>skill</t>
  </si>
  <si>
    <t>city</t>
  </si>
  <si>
    <t>n</t>
  </si>
  <si>
    <t>Cross-tab (SUMIFS): top skills x top cities</t>
  </si>
  <si>
    <t>aws</t>
  </si>
  <si>
    <t>Bangalore</t>
  </si>
  <si>
    <t>Hyderabad</t>
  </si>
  <si>
    <t>Pune</t>
  </si>
  <si>
    <t>Chennai</t>
  </si>
  <si>
    <t>Gurgaon</t>
  </si>
  <si>
    <t>Mumbai</t>
  </si>
  <si>
    <t>Noida</t>
  </si>
  <si>
    <t>Kolkata</t>
  </si>
  <si>
    <t>python</t>
  </si>
  <si>
    <t>java</t>
  </si>
  <si>
    <t>sql</t>
  </si>
  <si>
    <t>azure</t>
  </si>
  <si>
    <t>ci/cd</t>
  </si>
  <si>
    <t>Gurugram</t>
  </si>
  <si>
    <t>react</t>
  </si>
  <si>
    <t>go</t>
  </si>
  <si>
    <t>Delhi</t>
  </si>
  <si>
    <t>gcp</t>
  </si>
  <si>
    <t>Bengaluru</t>
  </si>
  <si>
    <t>spring</t>
  </si>
  <si>
    <t>Ahmedabad</t>
  </si>
  <si>
    <t>javascript</t>
  </si>
  <si>
    <t>Remote - India</t>
  </si>
  <si>
    <t>etl</t>
  </si>
  <si>
    <t>India</t>
  </si>
  <si>
    <t>Richmond Town</t>
  </si>
  <si>
    <t>Flexible / Remote</t>
  </si>
  <si>
    <t>Insert &gt; PivotTable on the SkillData table (rows=skill, cols=city, values=Sum of n).</t>
  </si>
  <si>
    <t>Ekkaduthangal</t>
  </si>
  <si>
    <t>Goregaon East</t>
  </si>
  <si>
    <t>Chauth Ka Barwara</t>
  </si>
  <si>
    <t>Boston</t>
  </si>
  <si>
    <t>Banaswadi</t>
  </si>
  <si>
    <t>Kenchanahalli</t>
  </si>
  <si>
    <t>Bengaluru; Gurugram</t>
  </si>
  <si>
    <t>Indore</t>
  </si>
  <si>
    <t>Remote</t>
  </si>
  <si>
    <t>Bengaluru - BLR1</t>
  </si>
  <si>
    <t>Bengaluru; Gurugram; Mumbai</t>
  </si>
  <si>
    <t>M A Marg</t>
  </si>
  <si>
    <t>Jhowtala</t>
  </si>
  <si>
    <t>Sanwer</t>
  </si>
  <si>
    <t>India (Remote)</t>
  </si>
  <si>
    <t>Vadodara</t>
  </si>
  <si>
    <t>Kyasaram</t>
  </si>
  <si>
    <t>Hinganghāt</t>
  </si>
  <si>
    <t>Srinivasapuram</t>
  </si>
  <si>
    <t>Jaipur</t>
  </si>
  <si>
    <t>Bengaluru / Mumbai</t>
  </si>
  <si>
    <t>IN-Bengaluru</t>
  </si>
  <si>
    <t>Egmore Nungambakkam</t>
  </si>
  <si>
    <t>Jalalabad</t>
  </si>
  <si>
    <t>Nana Peth</t>
  </si>
  <si>
    <t>Agara</t>
  </si>
  <si>
    <t>Navi Mumbai</t>
  </si>
  <si>
    <t>Greater Noida</t>
  </si>
  <si>
    <t>Nagpur</t>
  </si>
  <si>
    <t>Nauroji Nagar</t>
  </si>
  <si>
    <t>Rameshnagar</t>
  </si>
  <si>
    <t>Telangana</t>
  </si>
  <si>
    <t>Ttti Taramani</t>
  </si>
  <si>
    <t>Haryana</t>
  </si>
  <si>
    <t>Mini Sectt.</t>
  </si>
  <si>
    <t>New Delhi</t>
  </si>
  <si>
    <t>Andhra Pradesh</t>
  </si>
  <si>
    <t>Vadgaon Sheri</t>
  </si>
  <si>
    <t>Adugodi</t>
  </si>
  <si>
    <t>Karnataka</t>
  </si>
  <si>
    <t>Hussainialam</t>
  </si>
  <si>
    <t>c++</t>
  </si>
  <si>
    <t>Baner</t>
  </si>
  <si>
    <t>Powai Iit</t>
  </si>
  <si>
    <t>Thiruvananthapuram</t>
  </si>
  <si>
    <t>Bazargate</t>
  </si>
  <si>
    <t>SpotDraft HQ</t>
  </si>
  <si>
    <t>docker</t>
  </si>
  <si>
    <t>Sansad Marg</t>
  </si>
  <si>
    <t>Motera</t>
  </si>
  <si>
    <t>Cahmrajendrapet</t>
  </si>
  <si>
    <t>Kasturibai Nagar</t>
  </si>
  <si>
    <t>Kochi</t>
  </si>
  <si>
    <t>Gopalapuram</t>
  </si>
  <si>
    <t>Coimbatore</t>
  </si>
  <si>
    <t>git</t>
  </si>
  <si>
    <t>Bengaluru-VTP</t>
  </si>
  <si>
    <t>Muzzafarpur</t>
  </si>
  <si>
    <t>Remote India</t>
  </si>
  <si>
    <t>Bhubaneswar</t>
  </si>
  <si>
    <t>Chandigarh</t>
  </si>
  <si>
    <t>Remote - Bangalore</t>
  </si>
  <si>
    <t>Delhi NCR</t>
  </si>
  <si>
    <t>Rajkot</t>
  </si>
  <si>
    <t>IN - Bengaluru</t>
  </si>
  <si>
    <t>Vijayanagar</t>
  </si>
  <si>
    <t>Yerwada</t>
  </si>
  <si>
    <t>Saidabad</t>
  </si>
  <si>
    <t>Surat</t>
  </si>
  <si>
    <t>Malabar Hill</t>
  </si>
  <si>
    <t>Golconda</t>
  </si>
  <si>
    <t>Tondiarpet Fort St George</t>
  </si>
  <si>
    <t>Gandhinagar</t>
  </si>
  <si>
    <t>Mulund West</t>
  </si>
  <si>
    <t>J P Nagar</t>
  </si>
  <si>
    <t>Faridabad</t>
  </si>
  <si>
    <t>Immedihalli</t>
  </si>
  <si>
    <t>Navrangpura</t>
  </si>
  <si>
    <t>Secunderabad</t>
  </si>
  <si>
    <t>kafka</t>
  </si>
  <si>
    <t>kubernetes</t>
  </si>
  <si>
    <t>mongodb</t>
  </si>
  <si>
    <t>mysql</t>
  </si>
  <si>
    <t>Fully remote - Canada</t>
  </si>
  <si>
    <t>nlp</t>
  </si>
  <si>
    <t>node.js</t>
  </si>
  <si>
    <t>Kundapura</t>
  </si>
  <si>
    <t>Udaipur</t>
  </si>
  <si>
    <t>postgresql</t>
  </si>
  <si>
    <t>Injambakkam</t>
  </si>
  <si>
    <t>power bi</t>
  </si>
  <si>
    <t>Beleghata</t>
  </si>
  <si>
    <t>Ernakulam</t>
  </si>
  <si>
    <t>Mohali</t>
  </si>
  <si>
    <t>Warje</t>
  </si>
  <si>
    <t>Salem</t>
  </si>
  <si>
    <t>Khengrapatti</t>
  </si>
  <si>
    <t>Bandikodigehalli</t>
  </si>
  <si>
    <t>Borivali West</t>
  </si>
  <si>
    <t>Vidyaranyapura</t>
  </si>
  <si>
    <t>Bannerghatta Road</t>
  </si>
  <si>
    <t>r</t>
  </si>
  <si>
    <t>Blumenau</t>
  </si>
  <si>
    <t>North Delhi</t>
  </si>
  <si>
    <t>Cheonan</t>
  </si>
  <si>
    <t>Indiranagar</t>
  </si>
  <si>
    <t>Dlf Ph</t>
  </si>
  <si>
    <t>Kanpur</t>
  </si>
  <si>
    <t>scala</t>
  </si>
  <si>
    <t>snowflake</t>
  </si>
  <si>
    <t>spark</t>
  </si>
  <si>
    <t>Singapore</t>
  </si>
  <si>
    <t>Bellandur</t>
  </si>
  <si>
    <t>Thane</t>
  </si>
  <si>
    <t>tableau</t>
  </si>
  <si>
    <t>terraform</t>
  </si>
  <si>
    <t>typescript</t>
  </si>
  <si>
    <t>Competitive Landscape — Weighted Scoring</t>
  </si>
  <si>
    <t>Scores 1-5 (blue). Weighted total = SUMPRODUCT(weights, scores). Lookup uses INDEX/MATCH + VLOOKUP.</t>
  </si>
  <si>
    <t>Criterion</t>
  </si>
  <si>
    <t>Weight</t>
  </si>
  <si>
    <t>Naukri</t>
  </si>
  <si>
    <t>LinkedIn</t>
  </si>
  <si>
    <t>Hirect</t>
  </si>
  <si>
    <t>Apna</t>
  </si>
  <si>
    <t>JobAtlas</t>
  </si>
  <si>
    <t>Cross-portal aggregation</t>
  </si>
  <si>
    <t>AI / semantic match</t>
  </si>
  <si>
    <t>Salary transparency</t>
  </si>
  <si>
    <t>UX / speed</t>
  </si>
  <si>
    <t>Coverage / scale</t>
  </si>
  <si>
    <t>Price (lower=better)</t>
  </si>
  <si>
    <t>Weighted total</t>
  </si>
  <si>
    <t>Lookup</t>
  </si>
  <si>
    <t>Rank table</t>
  </si>
  <si>
    <t>Score</t>
  </si>
  <si>
    <t>Competitor</t>
  </si>
  <si>
    <t>Weighted score (INDEX/MATCH)</t>
  </si>
  <si>
    <t>Score via VLOOKUP</t>
  </si>
  <si>
    <t>Persona Sizing</t>
  </si>
  <si>
    <t>TAM per persona = addressable population x reachable % x annual value. Attributes via VLOOKUP.</t>
  </si>
  <si>
    <t>Persona</t>
  </si>
  <si>
    <t>Segment</t>
  </si>
  <si>
    <t>Population (lakh)</t>
  </si>
  <si>
    <t>Reachable %</t>
  </si>
  <si>
    <t>Annual value (Rs)</t>
  </si>
  <si>
    <t>TAM (Rs cr)</t>
  </si>
  <si>
    <t>Anjali</t>
  </si>
  <si>
    <t>Fresh graduate</t>
  </si>
  <si>
    <t>Rohit</t>
  </si>
  <si>
    <t>Career switcher</t>
  </si>
  <si>
    <t>Sneha</t>
  </si>
  <si>
    <t>Senior hire</t>
  </si>
  <si>
    <t>Total persona TAM (Rs cr)</t>
  </si>
  <si>
    <t>Lookup a persona</t>
  </si>
  <si>
    <t>Segment (VLOOKUP)</t>
  </si>
  <si>
    <t>TAM (VLOOKUP)</t>
  </si>
  <si>
    <t>Q1 OKRs</t>
  </si>
  <si>
    <t>Completion = actual / target. Status via VLOOKUP on completion band; traffic-light conditional formatting.</t>
  </si>
  <si>
    <t>Objective / Key result</t>
  </si>
  <si>
    <t>Target</t>
  </si>
  <si>
    <t>Actual</t>
  </si>
  <si>
    <t>Completion</t>
  </si>
  <si>
    <t>Status</t>
  </si>
  <si>
    <t>Band</t>
  </si>
  <si>
    <t>O1: Build a credible unified index</t>
  </si>
  <si>
    <t>Off track</t>
  </si>
  <si>
    <t xml:space="preserve">  KR1 Jobs indexed</t>
  </si>
  <si>
    <t>At risk</t>
  </si>
  <si>
    <t xml:space="preserve">  KR2 Sources integrated</t>
  </si>
  <si>
    <t>On track</t>
  </si>
  <si>
    <t xml:space="preserve">  KR3 Duplicate rate &lt;=15%</t>
  </si>
  <si>
    <t>O2: Validate the match ranker</t>
  </si>
  <si>
    <t xml:space="preserve">  KR4 Apply-click lift</t>
  </si>
  <si>
    <t xml:space="preserve">  KR5 P(better) &gt;=95%</t>
  </si>
  <si>
    <t>O3: Ship the analytics surface</t>
  </si>
  <si>
    <t xml:space="preserve">  KR6 Dashboards published</t>
  </si>
  <si>
    <t xml:space="preserve">  KR7 Match latency p95 &lt;100ms</t>
  </si>
  <si>
    <t>Row Labels</t>
  </si>
  <si>
    <t>Grand Total</t>
  </si>
  <si>
    <t>Column Labels</t>
  </si>
  <si>
    <t>Sum of n</t>
  </si>
  <si>
    <t>Sum of count</t>
  </si>
  <si>
    <t>Funnel Pivot</t>
  </si>
  <si>
    <t>Skills Pivot</t>
  </si>
  <si>
    <t>Sum of retained</t>
  </si>
  <si>
    <t>Cohort Pivot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</si>
</sst>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0.0%"/>
    <numFmt numFmtId="166" formatCode="0.00&quot; ms&quot;"/>
    <numFmt numFmtId="167" formatCode="yyyy\-mm\-dd"/>
    <numFmt numFmtId="168" formatCode="yyyy"/>
  </numFmts>
  <fonts count="10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808080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sz val="11"/>
      <color rgb="FF008000"/>
      <name val="Arial"/>
      <charset val="1"/>
    </font>
    <font>
      <sz val="10"/>
      <name val="Arial"/>
      <family val="2"/>
    </font>
    <font>
      <b/>
      <sz val="11"/>
      <color rgb="FFFFFFFF"/>
      <name val="Arial"/>
      <charset val="1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3" fontId="5" fillId="3" borderId="0" xfId="0" applyNumberFormat="1" applyFont="1" applyFill="1"/>
    <xf numFmtId="164" fontId="6" fillId="3" borderId="0" xfId="0" applyNumberFormat="1" applyFont="1" applyFill="1"/>
    <xf numFmtId="165" fontId="5" fillId="3" borderId="0" xfId="0" applyNumberFormat="1" applyFont="1" applyFill="1"/>
    <xf numFmtId="165" fontId="6" fillId="3" borderId="0" xfId="0" applyNumberFormat="1" applyFont="1" applyFill="1"/>
    <xf numFmtId="166" fontId="5" fillId="3" borderId="0" xfId="0" applyNumberFormat="1" applyFont="1" applyFill="1"/>
    <xf numFmtId="2" fontId="6" fillId="3" borderId="0" xfId="0" applyNumberFormat="1" applyFont="1" applyFill="1"/>
    <xf numFmtId="164" fontId="5" fillId="0" borderId="0" xfId="0" applyNumberFormat="1" applyFont="1"/>
    <xf numFmtId="165" fontId="5" fillId="0" borderId="0" xfId="0" applyNumberFormat="1" applyFont="1"/>
    <xf numFmtId="165" fontId="4" fillId="0" borderId="0" xfId="0" applyNumberFormat="1" applyFont="1"/>
    <xf numFmtId="164" fontId="4" fillId="0" borderId="0" xfId="0" applyNumberFormat="1" applyFont="1"/>
    <xf numFmtId="3" fontId="5" fillId="0" borderId="0" xfId="0" applyNumberFormat="1" applyFont="1"/>
    <xf numFmtId="3" fontId="4" fillId="0" borderId="0" xfId="0" applyNumberFormat="1" applyFont="1"/>
    <xf numFmtId="164" fontId="6" fillId="0" borderId="0" xfId="0" applyNumberFormat="1" applyFont="1"/>
    <xf numFmtId="0" fontId="8" fillId="4" borderId="0" xfId="0" applyFont="1" applyFill="1" applyAlignment="1">
      <alignment horizontal="center"/>
    </xf>
    <xf numFmtId="167" fontId="4" fillId="0" borderId="0" xfId="0" applyNumberFormat="1" applyFont="1"/>
    <xf numFmtId="168" fontId="4" fillId="0" borderId="0" xfId="0" applyNumberFormat="1" applyFont="1"/>
    <xf numFmtId="0" fontId="3" fillId="0" borderId="0" xfId="0" applyFont="1"/>
    <xf numFmtId="0" fontId="5" fillId="0" borderId="0" xfId="0" applyFont="1"/>
    <xf numFmtId="2" fontId="4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3" fontId="0" fillId="0" borderId="0" xfId="0" applyNumberFormat="1"/>
    <xf numFmtId="0" fontId="9" fillId="0" borderId="0" xfId="0" applyFont="1"/>
  </cellXfs>
  <cellStyles count="1">
    <cellStyle name="Normal" xfId="0" builtinId="0"/>
  </cellStyles>
  <dxfs count="3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2EFDA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78.286502893519" createdVersion="8" refreshedVersion="8" minRefreshableVersion="3" recordCount="792" xr:uid="{361FF34C-9EF8-4431-9A4B-587DA88F8122}">
  <cacheSource type="worksheet">
    <worksheetSource name="SkillData"/>
  </cacheSource>
  <cacheFields count="3">
    <cacheField name="skill" numFmtId="0">
      <sharedItems count="30">
        <s v="aws"/>
        <s v="azure"/>
        <s v="c++"/>
        <s v="ci/cd"/>
        <s v="docker"/>
        <s v="etl"/>
        <s v="gcp"/>
        <s v="git"/>
        <s v="go"/>
        <s v="java"/>
        <s v="javascript"/>
        <s v="kafka"/>
        <s v="kubernetes"/>
        <s v="mongodb"/>
        <s v="mysql"/>
        <s v="nlp"/>
        <s v="node.js"/>
        <s v="postgresql"/>
        <s v="power bi"/>
        <s v="python"/>
        <s v="r"/>
        <s v="react"/>
        <s v="scala"/>
        <s v="snowflake"/>
        <s v="spark"/>
        <s v="spring"/>
        <s v="sql"/>
        <s v="tableau"/>
        <s v="terraform"/>
        <s v="typescript"/>
      </sharedItems>
    </cacheField>
    <cacheField name="city" numFmtId="0">
      <sharedItems count="115">
        <s v="Bangalore"/>
        <s v="Hyderabad"/>
        <s v="Mumbai"/>
        <s v="Pune"/>
        <s v="Chennai"/>
        <s v="Noida"/>
        <s v="Gurgaon"/>
        <s v="Gurugram"/>
        <s v="Kolkata"/>
        <s v="Delhi"/>
        <s v="Bengaluru"/>
        <s v="Ahmedabad"/>
        <s v="Remote - India"/>
        <s v="India"/>
        <s v="Richmond Town"/>
        <s v="Flexible / Remote"/>
        <s v="Ekkaduthangal"/>
        <s v="Goregaon East"/>
        <s v="Chauth Ka Barwara"/>
        <s v="Boston"/>
        <s v="Banaswadi"/>
        <s v="Kenchanahalli"/>
        <s v="Bengaluru; Gurugram"/>
        <s v="Indore"/>
        <s v="Remote"/>
        <s v="Bengaluru - BLR1"/>
        <s v="Bengaluru; Gurugram; Mumbai"/>
        <s v="M A Marg"/>
        <s v="Jhowtala"/>
        <s v="Sanwer"/>
        <s v="India (Remote)"/>
        <s v="Vadodara"/>
        <s v="Kyasaram"/>
        <s v="Hinganghāt"/>
        <s v="Srinivasapuram"/>
        <s v="Jaipur"/>
        <s v="Bengaluru / Mumbai"/>
        <s v="IN-Bengaluru"/>
        <s v="Egmore Nungambakkam"/>
        <s v="Jalalabad"/>
        <s v="Nana Peth"/>
        <s v="Agara"/>
        <s v="Navi Mumbai"/>
        <s v="Greater Noida"/>
        <s v="Nagpur"/>
        <s v="Nauroji Nagar"/>
        <s v="Rameshnagar"/>
        <s v="Telangana"/>
        <s v="Ttti Taramani"/>
        <s v="Haryana"/>
        <s v="Mini Sectt."/>
        <s v="New Delhi"/>
        <s v="Andhra Pradesh"/>
        <s v="Vadgaon Sheri"/>
        <s v="Adugodi"/>
        <s v="Karnataka"/>
        <s v="Hussainialam"/>
        <s v="Baner"/>
        <s v="Powai Iit"/>
        <s v="Thiruvananthapuram"/>
        <s v="Bazargate"/>
        <s v="SpotDraft HQ"/>
        <s v="Sansad Marg"/>
        <s v="Motera"/>
        <s v="Cahmrajendrapet"/>
        <s v="Kasturibai Nagar"/>
        <s v="Kochi"/>
        <s v="Gopalapuram"/>
        <s v="Coimbatore"/>
        <s v="Bengaluru-VTP"/>
        <s v="Muzzafarpur"/>
        <s v="Remote India"/>
        <s v="Bhubaneswar"/>
        <s v="Chandigarh"/>
        <s v="Remote - Bangalore"/>
        <s v="Delhi NCR"/>
        <s v="Rajkot"/>
        <s v="IN - Bengaluru"/>
        <s v="Vijayanagar"/>
        <s v="Yerwada"/>
        <s v="Saidabad"/>
        <s v="Surat"/>
        <s v="Malabar Hill"/>
        <s v="Golconda"/>
        <s v="Tondiarpet Fort St George"/>
        <s v="Gandhinagar"/>
        <s v="Mulund West"/>
        <s v="J P Nagar"/>
        <s v="Faridabad"/>
        <s v="Immedihalli"/>
        <s v="Navrangpura"/>
        <s v="Secunderabad"/>
        <s v="Fully remote - Canada"/>
        <s v="Kundapura"/>
        <s v="Udaipur"/>
        <s v="Injambakkam"/>
        <s v="Beleghata"/>
        <s v="Ernakulam"/>
        <s v="Mohali"/>
        <s v="Warje"/>
        <s v="Salem"/>
        <s v="Khengrapatti"/>
        <s v="Bandikodigehalli"/>
        <s v="Borivali West"/>
        <s v="Vidyaranyapura"/>
        <s v="Bannerghatta Road"/>
        <s v="Blumenau"/>
        <s v="North Delhi"/>
        <s v="Cheonan"/>
        <s v="Indiranagar"/>
        <s v="Dlf Ph"/>
        <s v="Kanpur"/>
        <s v="Singapore"/>
        <s v="Bellandur"/>
        <s v="Thane"/>
      </sharedItems>
    </cacheField>
    <cacheField name="n" numFmtId="0">
      <sharedItems containsSemiMixedTypes="0" containsString="0" containsNumber="1" containsInteger="1" minValue="1" maxValue="2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78.296241435186" createdVersion="8" refreshedVersion="8" minRefreshableVersion="3" recordCount="8" xr:uid="{812CBD7B-F032-445D-BA17-A9A6CBE76EDE}">
  <cacheSource type="worksheet">
    <worksheetSource ref="F5:H13" sheet="Funnel_Analysis"/>
  </cacheSource>
  <cacheFields count="3">
    <cacheField name="arm" numFmtId="0">
      <sharedItems count="2">
        <s v="control"/>
        <s v="test"/>
      </sharedItems>
    </cacheField>
    <cacheField name="step" numFmtId="0">
      <sharedItems count="4">
        <s v="resume_uploaded"/>
        <s v="match_requested"/>
        <s v="match_score_revealed"/>
        <s v="apply_clicked"/>
      </sharedItems>
    </cacheField>
    <cacheField name="count" numFmtId="3">
      <sharedItems containsSemiMixedTypes="0" containsString="0" containsNumber="1" containsInteger="1" minValue="730" maxValue="2400" count="3">
        <n v="2400"/>
        <n v="730"/>
        <n v="80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78.298218865741" createdVersion="8" refreshedVersion="8" minRefreshableVersion="3" recordCount="24" xr:uid="{0E6278CB-D01B-4743-8ACE-F3BAF89CF3C8}">
  <cacheSource type="worksheet">
    <worksheetSource ref="H13:J37" sheet="Cohorts"/>
  </cacheSource>
  <cacheFields count="3">
    <cacheField name="cohort" numFmtId="0">
      <sharedItems count="6">
        <s v="2026-W18"/>
        <s v="2026-W19"/>
        <s v="2026-W20"/>
        <s v="2026-W21"/>
        <s v="2026-W22"/>
        <s v="2026-W23"/>
      </sharedItems>
    </cacheField>
    <cacheField name="week" numFmtId="0">
      <sharedItems count="4">
        <s v="W1"/>
        <s v="W2"/>
        <s v="W4"/>
        <s v="W8"/>
      </sharedItems>
    </cacheField>
    <cacheField name="retained" numFmtId="3">
      <sharedItems containsSemiMixedTypes="0" containsString="0" containsNumber="1" minValue="75.599999999999994" maxValue="429.975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2">
  <r>
    <x v="0"/>
    <x v="0"/>
    <n v="136"/>
  </r>
  <r>
    <x v="0"/>
    <x v="1"/>
    <n v="63"/>
  </r>
  <r>
    <x v="0"/>
    <x v="2"/>
    <n v="62"/>
  </r>
  <r>
    <x v="0"/>
    <x v="3"/>
    <n v="60"/>
  </r>
  <r>
    <x v="0"/>
    <x v="4"/>
    <n v="46"/>
  </r>
  <r>
    <x v="0"/>
    <x v="5"/>
    <n v="42"/>
  </r>
  <r>
    <x v="0"/>
    <x v="6"/>
    <n v="41"/>
  </r>
  <r>
    <x v="0"/>
    <x v="7"/>
    <n v="39"/>
  </r>
  <r>
    <x v="0"/>
    <x v="8"/>
    <n v="37"/>
  </r>
  <r>
    <x v="0"/>
    <x v="9"/>
    <n v="36"/>
  </r>
  <r>
    <x v="0"/>
    <x v="10"/>
    <n v="27"/>
  </r>
  <r>
    <x v="0"/>
    <x v="11"/>
    <n v="15"/>
  </r>
  <r>
    <x v="0"/>
    <x v="12"/>
    <n v="8"/>
  </r>
  <r>
    <x v="0"/>
    <x v="13"/>
    <n v="7"/>
  </r>
  <r>
    <x v="0"/>
    <x v="14"/>
    <n v="3"/>
  </r>
  <r>
    <x v="0"/>
    <x v="15"/>
    <n v="3"/>
  </r>
  <r>
    <x v="0"/>
    <x v="16"/>
    <n v="2"/>
  </r>
  <r>
    <x v="0"/>
    <x v="17"/>
    <n v="2"/>
  </r>
  <r>
    <x v="0"/>
    <x v="18"/>
    <n v="2"/>
  </r>
  <r>
    <x v="0"/>
    <x v="19"/>
    <n v="2"/>
  </r>
  <r>
    <x v="0"/>
    <x v="20"/>
    <n v="2"/>
  </r>
  <r>
    <x v="0"/>
    <x v="21"/>
    <n v="2"/>
  </r>
  <r>
    <x v="0"/>
    <x v="22"/>
    <n v="2"/>
  </r>
  <r>
    <x v="0"/>
    <x v="23"/>
    <n v="2"/>
  </r>
  <r>
    <x v="0"/>
    <x v="24"/>
    <n v="2"/>
  </r>
  <r>
    <x v="0"/>
    <x v="25"/>
    <n v="2"/>
  </r>
  <r>
    <x v="0"/>
    <x v="26"/>
    <n v="1"/>
  </r>
  <r>
    <x v="0"/>
    <x v="27"/>
    <n v="1"/>
  </r>
  <r>
    <x v="0"/>
    <x v="28"/>
    <n v="1"/>
  </r>
  <r>
    <x v="0"/>
    <x v="29"/>
    <n v="1"/>
  </r>
  <r>
    <x v="0"/>
    <x v="30"/>
    <n v="1"/>
  </r>
  <r>
    <x v="0"/>
    <x v="31"/>
    <n v="1"/>
  </r>
  <r>
    <x v="0"/>
    <x v="32"/>
    <n v="1"/>
  </r>
  <r>
    <x v="0"/>
    <x v="33"/>
    <n v="1"/>
  </r>
  <r>
    <x v="0"/>
    <x v="34"/>
    <n v="1"/>
  </r>
  <r>
    <x v="0"/>
    <x v="35"/>
    <n v="1"/>
  </r>
  <r>
    <x v="0"/>
    <x v="36"/>
    <n v="1"/>
  </r>
  <r>
    <x v="0"/>
    <x v="37"/>
    <n v="1"/>
  </r>
  <r>
    <x v="0"/>
    <x v="38"/>
    <n v="1"/>
  </r>
  <r>
    <x v="0"/>
    <x v="39"/>
    <n v="1"/>
  </r>
  <r>
    <x v="0"/>
    <x v="40"/>
    <n v="1"/>
  </r>
  <r>
    <x v="0"/>
    <x v="41"/>
    <n v="1"/>
  </r>
  <r>
    <x v="0"/>
    <x v="42"/>
    <n v="1"/>
  </r>
  <r>
    <x v="0"/>
    <x v="43"/>
    <n v="1"/>
  </r>
  <r>
    <x v="0"/>
    <x v="44"/>
    <n v="1"/>
  </r>
  <r>
    <x v="0"/>
    <x v="45"/>
    <n v="1"/>
  </r>
  <r>
    <x v="1"/>
    <x v="0"/>
    <n v="131"/>
  </r>
  <r>
    <x v="1"/>
    <x v="1"/>
    <n v="49"/>
  </r>
  <r>
    <x v="1"/>
    <x v="3"/>
    <n v="46"/>
  </r>
  <r>
    <x v="1"/>
    <x v="5"/>
    <n v="46"/>
  </r>
  <r>
    <x v="1"/>
    <x v="4"/>
    <n v="43"/>
  </r>
  <r>
    <x v="1"/>
    <x v="6"/>
    <n v="39"/>
  </r>
  <r>
    <x v="1"/>
    <x v="8"/>
    <n v="36"/>
  </r>
  <r>
    <x v="1"/>
    <x v="2"/>
    <n v="26"/>
  </r>
  <r>
    <x v="1"/>
    <x v="9"/>
    <n v="21"/>
  </r>
  <r>
    <x v="1"/>
    <x v="10"/>
    <n v="19"/>
  </r>
  <r>
    <x v="1"/>
    <x v="14"/>
    <n v="6"/>
  </r>
  <r>
    <x v="1"/>
    <x v="7"/>
    <n v="5"/>
  </r>
  <r>
    <x v="1"/>
    <x v="12"/>
    <n v="5"/>
  </r>
  <r>
    <x v="1"/>
    <x v="13"/>
    <n v="3"/>
  </r>
  <r>
    <x v="1"/>
    <x v="17"/>
    <n v="3"/>
  </r>
  <r>
    <x v="1"/>
    <x v="11"/>
    <n v="3"/>
  </r>
  <r>
    <x v="1"/>
    <x v="24"/>
    <n v="2"/>
  </r>
  <r>
    <x v="1"/>
    <x v="34"/>
    <n v="2"/>
  </r>
  <r>
    <x v="1"/>
    <x v="25"/>
    <n v="2"/>
  </r>
  <r>
    <x v="1"/>
    <x v="22"/>
    <n v="1"/>
  </r>
  <r>
    <x v="1"/>
    <x v="46"/>
    <n v="1"/>
  </r>
  <r>
    <x v="1"/>
    <x v="47"/>
    <n v="1"/>
  </r>
  <r>
    <x v="1"/>
    <x v="30"/>
    <n v="1"/>
  </r>
  <r>
    <x v="1"/>
    <x v="48"/>
    <n v="1"/>
  </r>
  <r>
    <x v="1"/>
    <x v="49"/>
    <n v="1"/>
  </r>
  <r>
    <x v="1"/>
    <x v="39"/>
    <n v="1"/>
  </r>
  <r>
    <x v="1"/>
    <x v="50"/>
    <n v="1"/>
  </r>
  <r>
    <x v="1"/>
    <x v="51"/>
    <n v="1"/>
  </r>
  <r>
    <x v="1"/>
    <x v="52"/>
    <n v="1"/>
  </r>
  <r>
    <x v="1"/>
    <x v="38"/>
    <n v="1"/>
  </r>
  <r>
    <x v="1"/>
    <x v="53"/>
    <n v="1"/>
  </r>
  <r>
    <x v="1"/>
    <x v="54"/>
    <n v="1"/>
  </r>
  <r>
    <x v="1"/>
    <x v="43"/>
    <n v="1"/>
  </r>
  <r>
    <x v="1"/>
    <x v="16"/>
    <n v="1"/>
  </r>
  <r>
    <x v="1"/>
    <x v="55"/>
    <n v="1"/>
  </r>
  <r>
    <x v="1"/>
    <x v="21"/>
    <n v="1"/>
  </r>
  <r>
    <x v="1"/>
    <x v="32"/>
    <n v="1"/>
  </r>
  <r>
    <x v="1"/>
    <x v="23"/>
    <n v="1"/>
  </r>
  <r>
    <x v="1"/>
    <x v="56"/>
    <n v="1"/>
  </r>
  <r>
    <x v="1"/>
    <x v="37"/>
    <n v="1"/>
  </r>
  <r>
    <x v="1"/>
    <x v="19"/>
    <n v="1"/>
  </r>
  <r>
    <x v="2"/>
    <x v="0"/>
    <n v="34"/>
  </r>
  <r>
    <x v="2"/>
    <x v="3"/>
    <n v="14"/>
  </r>
  <r>
    <x v="2"/>
    <x v="10"/>
    <n v="12"/>
  </r>
  <r>
    <x v="2"/>
    <x v="1"/>
    <n v="11"/>
  </r>
  <r>
    <x v="2"/>
    <x v="5"/>
    <n v="9"/>
  </r>
  <r>
    <x v="2"/>
    <x v="4"/>
    <n v="7"/>
  </r>
  <r>
    <x v="2"/>
    <x v="2"/>
    <n v="6"/>
  </r>
  <r>
    <x v="2"/>
    <x v="6"/>
    <n v="5"/>
  </r>
  <r>
    <x v="2"/>
    <x v="9"/>
    <n v="4"/>
  </r>
  <r>
    <x v="2"/>
    <x v="7"/>
    <n v="2"/>
  </r>
  <r>
    <x v="2"/>
    <x v="57"/>
    <n v="1"/>
  </r>
  <r>
    <x v="2"/>
    <x v="22"/>
    <n v="1"/>
  </r>
  <r>
    <x v="2"/>
    <x v="58"/>
    <n v="1"/>
  </r>
  <r>
    <x v="2"/>
    <x v="8"/>
    <n v="1"/>
  </r>
  <r>
    <x v="3"/>
    <x v="0"/>
    <n v="79"/>
  </r>
  <r>
    <x v="3"/>
    <x v="1"/>
    <n v="40"/>
  </r>
  <r>
    <x v="3"/>
    <x v="4"/>
    <n v="38"/>
  </r>
  <r>
    <x v="3"/>
    <x v="6"/>
    <n v="31"/>
  </r>
  <r>
    <x v="3"/>
    <x v="5"/>
    <n v="30"/>
  </r>
  <r>
    <x v="3"/>
    <x v="3"/>
    <n v="29"/>
  </r>
  <r>
    <x v="3"/>
    <x v="8"/>
    <n v="25"/>
  </r>
  <r>
    <x v="3"/>
    <x v="2"/>
    <n v="19"/>
  </r>
  <r>
    <x v="3"/>
    <x v="9"/>
    <n v="14"/>
  </r>
  <r>
    <x v="3"/>
    <x v="10"/>
    <n v="11"/>
  </r>
  <r>
    <x v="3"/>
    <x v="7"/>
    <n v="9"/>
  </r>
  <r>
    <x v="3"/>
    <x v="24"/>
    <n v="7"/>
  </r>
  <r>
    <x v="3"/>
    <x v="14"/>
    <n v="4"/>
  </r>
  <r>
    <x v="3"/>
    <x v="13"/>
    <n v="3"/>
  </r>
  <r>
    <x v="3"/>
    <x v="59"/>
    <n v="2"/>
  </r>
  <r>
    <x v="3"/>
    <x v="32"/>
    <n v="2"/>
  </r>
  <r>
    <x v="3"/>
    <x v="12"/>
    <n v="2"/>
  </r>
  <r>
    <x v="3"/>
    <x v="23"/>
    <n v="2"/>
  </r>
  <r>
    <x v="3"/>
    <x v="34"/>
    <n v="2"/>
  </r>
  <r>
    <x v="3"/>
    <x v="15"/>
    <n v="2"/>
  </r>
  <r>
    <x v="3"/>
    <x v="27"/>
    <n v="2"/>
  </r>
  <r>
    <x v="3"/>
    <x v="41"/>
    <n v="1"/>
  </r>
  <r>
    <x v="3"/>
    <x v="60"/>
    <n v="1"/>
  </r>
  <r>
    <x v="3"/>
    <x v="38"/>
    <n v="1"/>
  </r>
  <r>
    <x v="3"/>
    <x v="44"/>
    <n v="1"/>
  </r>
  <r>
    <x v="3"/>
    <x v="50"/>
    <n v="1"/>
  </r>
  <r>
    <x v="3"/>
    <x v="61"/>
    <n v="1"/>
  </r>
  <r>
    <x v="3"/>
    <x v="39"/>
    <n v="1"/>
  </r>
  <r>
    <x v="3"/>
    <x v="28"/>
    <n v="1"/>
  </r>
  <r>
    <x v="3"/>
    <x v="16"/>
    <n v="1"/>
  </r>
  <r>
    <x v="3"/>
    <x v="43"/>
    <n v="1"/>
  </r>
  <r>
    <x v="3"/>
    <x v="18"/>
    <n v="1"/>
  </r>
  <r>
    <x v="3"/>
    <x v="33"/>
    <n v="1"/>
  </r>
  <r>
    <x v="3"/>
    <x v="11"/>
    <n v="1"/>
  </r>
  <r>
    <x v="3"/>
    <x v="30"/>
    <n v="1"/>
  </r>
  <r>
    <x v="3"/>
    <x v="40"/>
    <n v="1"/>
  </r>
  <r>
    <x v="4"/>
    <x v="0"/>
    <n v="34"/>
  </r>
  <r>
    <x v="4"/>
    <x v="3"/>
    <n v="22"/>
  </r>
  <r>
    <x v="4"/>
    <x v="1"/>
    <n v="21"/>
  </r>
  <r>
    <x v="4"/>
    <x v="8"/>
    <n v="12"/>
  </r>
  <r>
    <x v="4"/>
    <x v="6"/>
    <n v="12"/>
  </r>
  <r>
    <x v="4"/>
    <x v="9"/>
    <n v="10"/>
  </r>
  <r>
    <x v="4"/>
    <x v="4"/>
    <n v="9"/>
  </r>
  <r>
    <x v="4"/>
    <x v="5"/>
    <n v="8"/>
  </r>
  <r>
    <x v="4"/>
    <x v="2"/>
    <n v="7"/>
  </r>
  <r>
    <x v="4"/>
    <x v="10"/>
    <n v="4"/>
  </r>
  <r>
    <x v="4"/>
    <x v="12"/>
    <n v="2"/>
  </r>
  <r>
    <x v="4"/>
    <x v="24"/>
    <n v="2"/>
  </r>
  <r>
    <x v="4"/>
    <x v="30"/>
    <n v="2"/>
  </r>
  <r>
    <x v="4"/>
    <x v="43"/>
    <n v="1"/>
  </r>
  <r>
    <x v="4"/>
    <x v="59"/>
    <n v="1"/>
  </r>
  <r>
    <x v="4"/>
    <x v="62"/>
    <n v="1"/>
  </r>
  <r>
    <x v="4"/>
    <x v="60"/>
    <n v="1"/>
  </r>
  <r>
    <x v="4"/>
    <x v="61"/>
    <n v="1"/>
  </r>
  <r>
    <x v="4"/>
    <x v="34"/>
    <n v="1"/>
  </r>
  <r>
    <x v="4"/>
    <x v="7"/>
    <n v="1"/>
  </r>
  <r>
    <x v="4"/>
    <x v="63"/>
    <n v="1"/>
  </r>
  <r>
    <x v="4"/>
    <x v="15"/>
    <n v="1"/>
  </r>
  <r>
    <x v="4"/>
    <x v="13"/>
    <n v="1"/>
  </r>
  <r>
    <x v="4"/>
    <x v="50"/>
    <n v="1"/>
  </r>
  <r>
    <x v="4"/>
    <x v="39"/>
    <n v="1"/>
  </r>
  <r>
    <x v="4"/>
    <x v="27"/>
    <n v="1"/>
  </r>
  <r>
    <x v="5"/>
    <x v="0"/>
    <n v="52"/>
  </r>
  <r>
    <x v="5"/>
    <x v="1"/>
    <n v="25"/>
  </r>
  <r>
    <x v="5"/>
    <x v="3"/>
    <n v="24"/>
  </r>
  <r>
    <x v="5"/>
    <x v="5"/>
    <n v="17"/>
  </r>
  <r>
    <x v="5"/>
    <x v="6"/>
    <n v="17"/>
  </r>
  <r>
    <x v="5"/>
    <x v="9"/>
    <n v="14"/>
  </r>
  <r>
    <x v="5"/>
    <x v="4"/>
    <n v="14"/>
  </r>
  <r>
    <x v="5"/>
    <x v="2"/>
    <n v="10"/>
  </r>
  <r>
    <x v="5"/>
    <x v="8"/>
    <n v="9"/>
  </r>
  <r>
    <x v="5"/>
    <x v="10"/>
    <n v="6"/>
  </r>
  <r>
    <x v="5"/>
    <x v="14"/>
    <n v="4"/>
  </r>
  <r>
    <x v="5"/>
    <x v="7"/>
    <n v="3"/>
  </r>
  <r>
    <x v="5"/>
    <x v="64"/>
    <n v="2"/>
  </r>
  <r>
    <x v="5"/>
    <x v="32"/>
    <n v="2"/>
  </r>
  <r>
    <x v="5"/>
    <x v="11"/>
    <n v="1"/>
  </r>
  <r>
    <x v="5"/>
    <x v="65"/>
    <n v="1"/>
  </r>
  <r>
    <x v="5"/>
    <x v="50"/>
    <n v="1"/>
  </r>
  <r>
    <x v="5"/>
    <x v="25"/>
    <n v="1"/>
  </r>
  <r>
    <x v="5"/>
    <x v="22"/>
    <n v="1"/>
  </r>
  <r>
    <x v="5"/>
    <x v="66"/>
    <n v="1"/>
  </r>
  <r>
    <x v="5"/>
    <x v="13"/>
    <n v="1"/>
  </r>
  <r>
    <x v="5"/>
    <x v="67"/>
    <n v="1"/>
  </r>
  <r>
    <x v="5"/>
    <x v="56"/>
    <n v="1"/>
  </r>
  <r>
    <x v="5"/>
    <x v="37"/>
    <n v="1"/>
  </r>
  <r>
    <x v="6"/>
    <x v="0"/>
    <n v="57"/>
  </r>
  <r>
    <x v="6"/>
    <x v="4"/>
    <n v="26"/>
  </r>
  <r>
    <x v="6"/>
    <x v="6"/>
    <n v="22"/>
  </r>
  <r>
    <x v="6"/>
    <x v="1"/>
    <n v="19"/>
  </r>
  <r>
    <x v="6"/>
    <x v="3"/>
    <n v="18"/>
  </r>
  <r>
    <x v="6"/>
    <x v="5"/>
    <n v="16"/>
  </r>
  <r>
    <x v="6"/>
    <x v="10"/>
    <n v="16"/>
  </r>
  <r>
    <x v="6"/>
    <x v="9"/>
    <n v="14"/>
  </r>
  <r>
    <x v="6"/>
    <x v="2"/>
    <n v="12"/>
  </r>
  <r>
    <x v="6"/>
    <x v="8"/>
    <n v="8"/>
  </r>
  <r>
    <x v="6"/>
    <x v="12"/>
    <n v="6"/>
  </r>
  <r>
    <x v="6"/>
    <x v="7"/>
    <n v="4"/>
  </r>
  <r>
    <x v="6"/>
    <x v="13"/>
    <n v="3"/>
  </r>
  <r>
    <x v="6"/>
    <x v="14"/>
    <n v="2"/>
  </r>
  <r>
    <x v="6"/>
    <x v="25"/>
    <n v="2"/>
  </r>
  <r>
    <x v="6"/>
    <x v="27"/>
    <n v="2"/>
  </r>
  <r>
    <x v="6"/>
    <x v="50"/>
    <n v="2"/>
  </r>
  <r>
    <x v="6"/>
    <x v="11"/>
    <n v="1"/>
  </r>
  <r>
    <x v="6"/>
    <x v="39"/>
    <n v="1"/>
  </r>
  <r>
    <x v="6"/>
    <x v="38"/>
    <n v="1"/>
  </r>
  <r>
    <x v="6"/>
    <x v="34"/>
    <n v="1"/>
  </r>
  <r>
    <x v="6"/>
    <x v="45"/>
    <n v="1"/>
  </r>
  <r>
    <x v="6"/>
    <x v="37"/>
    <n v="1"/>
  </r>
  <r>
    <x v="6"/>
    <x v="21"/>
    <n v="1"/>
  </r>
  <r>
    <x v="6"/>
    <x v="24"/>
    <n v="1"/>
  </r>
  <r>
    <x v="6"/>
    <x v="59"/>
    <n v="1"/>
  </r>
  <r>
    <x v="6"/>
    <x v="41"/>
    <n v="1"/>
  </r>
  <r>
    <x v="6"/>
    <x v="23"/>
    <n v="1"/>
  </r>
  <r>
    <x v="6"/>
    <x v="30"/>
    <n v="1"/>
  </r>
  <r>
    <x v="6"/>
    <x v="32"/>
    <n v="1"/>
  </r>
  <r>
    <x v="6"/>
    <x v="61"/>
    <n v="1"/>
  </r>
  <r>
    <x v="6"/>
    <x v="62"/>
    <n v="1"/>
  </r>
  <r>
    <x v="6"/>
    <x v="68"/>
    <n v="1"/>
  </r>
  <r>
    <x v="7"/>
    <x v="0"/>
    <n v="32"/>
  </r>
  <r>
    <x v="7"/>
    <x v="1"/>
    <n v="17"/>
  </r>
  <r>
    <x v="7"/>
    <x v="3"/>
    <n v="16"/>
  </r>
  <r>
    <x v="7"/>
    <x v="5"/>
    <n v="13"/>
  </r>
  <r>
    <x v="7"/>
    <x v="4"/>
    <n v="12"/>
  </r>
  <r>
    <x v="7"/>
    <x v="8"/>
    <n v="10"/>
  </r>
  <r>
    <x v="7"/>
    <x v="2"/>
    <n v="10"/>
  </r>
  <r>
    <x v="7"/>
    <x v="6"/>
    <n v="8"/>
  </r>
  <r>
    <x v="7"/>
    <x v="9"/>
    <n v="6"/>
  </r>
  <r>
    <x v="7"/>
    <x v="7"/>
    <n v="5"/>
  </r>
  <r>
    <x v="7"/>
    <x v="10"/>
    <n v="4"/>
  </r>
  <r>
    <x v="7"/>
    <x v="24"/>
    <n v="4"/>
  </r>
  <r>
    <x v="7"/>
    <x v="14"/>
    <n v="2"/>
  </r>
  <r>
    <x v="7"/>
    <x v="34"/>
    <n v="1"/>
  </r>
  <r>
    <x v="7"/>
    <x v="12"/>
    <n v="1"/>
  </r>
  <r>
    <x v="7"/>
    <x v="25"/>
    <n v="1"/>
  </r>
  <r>
    <x v="7"/>
    <x v="30"/>
    <n v="1"/>
  </r>
  <r>
    <x v="7"/>
    <x v="15"/>
    <n v="1"/>
  </r>
  <r>
    <x v="8"/>
    <x v="0"/>
    <n v="94"/>
  </r>
  <r>
    <x v="8"/>
    <x v="10"/>
    <n v="30"/>
  </r>
  <r>
    <x v="8"/>
    <x v="3"/>
    <n v="21"/>
  </r>
  <r>
    <x v="8"/>
    <x v="7"/>
    <n v="19"/>
  </r>
  <r>
    <x v="8"/>
    <x v="15"/>
    <n v="18"/>
  </r>
  <r>
    <x v="8"/>
    <x v="1"/>
    <n v="17"/>
  </r>
  <r>
    <x v="8"/>
    <x v="2"/>
    <n v="15"/>
  </r>
  <r>
    <x v="8"/>
    <x v="24"/>
    <n v="15"/>
  </r>
  <r>
    <x v="8"/>
    <x v="6"/>
    <n v="14"/>
  </r>
  <r>
    <x v="8"/>
    <x v="4"/>
    <n v="13"/>
  </r>
  <r>
    <x v="8"/>
    <x v="5"/>
    <n v="10"/>
  </r>
  <r>
    <x v="8"/>
    <x v="8"/>
    <n v="6"/>
  </r>
  <r>
    <x v="8"/>
    <x v="9"/>
    <n v="5"/>
  </r>
  <r>
    <x v="8"/>
    <x v="13"/>
    <n v="4"/>
  </r>
  <r>
    <x v="8"/>
    <x v="12"/>
    <n v="3"/>
  </r>
  <r>
    <x v="8"/>
    <x v="69"/>
    <n v="2"/>
  </r>
  <r>
    <x v="8"/>
    <x v="11"/>
    <n v="2"/>
  </r>
  <r>
    <x v="8"/>
    <x v="70"/>
    <n v="1"/>
  </r>
  <r>
    <x v="8"/>
    <x v="71"/>
    <n v="1"/>
  </r>
  <r>
    <x v="8"/>
    <x v="72"/>
    <n v="1"/>
  </r>
  <r>
    <x v="8"/>
    <x v="73"/>
    <n v="1"/>
  </r>
  <r>
    <x v="8"/>
    <x v="66"/>
    <n v="1"/>
  </r>
  <r>
    <x v="8"/>
    <x v="74"/>
    <n v="1"/>
  </r>
  <r>
    <x v="8"/>
    <x v="35"/>
    <n v="1"/>
  </r>
  <r>
    <x v="8"/>
    <x v="51"/>
    <n v="1"/>
  </r>
  <r>
    <x v="8"/>
    <x v="61"/>
    <n v="1"/>
  </r>
  <r>
    <x v="8"/>
    <x v="75"/>
    <n v="1"/>
  </r>
  <r>
    <x v="8"/>
    <x v="76"/>
    <n v="1"/>
  </r>
  <r>
    <x v="8"/>
    <x v="77"/>
    <n v="1"/>
  </r>
  <r>
    <x v="8"/>
    <x v="16"/>
    <n v="1"/>
  </r>
  <r>
    <x v="8"/>
    <x v="43"/>
    <n v="1"/>
  </r>
  <r>
    <x v="8"/>
    <x v="25"/>
    <n v="1"/>
  </r>
  <r>
    <x v="8"/>
    <x v="22"/>
    <n v="1"/>
  </r>
  <r>
    <x v="8"/>
    <x v="78"/>
    <n v="1"/>
  </r>
  <r>
    <x v="8"/>
    <x v="14"/>
    <n v="1"/>
  </r>
  <r>
    <x v="9"/>
    <x v="0"/>
    <n v="186"/>
  </r>
  <r>
    <x v="9"/>
    <x v="4"/>
    <n v="98"/>
  </r>
  <r>
    <x v="9"/>
    <x v="3"/>
    <n v="90"/>
  </r>
  <r>
    <x v="9"/>
    <x v="1"/>
    <n v="78"/>
  </r>
  <r>
    <x v="9"/>
    <x v="2"/>
    <n v="72"/>
  </r>
  <r>
    <x v="9"/>
    <x v="6"/>
    <n v="66"/>
  </r>
  <r>
    <x v="9"/>
    <x v="9"/>
    <n v="58"/>
  </r>
  <r>
    <x v="9"/>
    <x v="5"/>
    <n v="47"/>
  </r>
  <r>
    <x v="9"/>
    <x v="8"/>
    <n v="46"/>
  </r>
  <r>
    <x v="9"/>
    <x v="10"/>
    <n v="29"/>
  </r>
  <r>
    <x v="9"/>
    <x v="7"/>
    <n v="7"/>
  </r>
  <r>
    <x v="9"/>
    <x v="14"/>
    <n v="6"/>
  </r>
  <r>
    <x v="9"/>
    <x v="12"/>
    <n v="5"/>
  </r>
  <r>
    <x v="9"/>
    <x v="79"/>
    <n v="4"/>
  </r>
  <r>
    <x v="9"/>
    <x v="34"/>
    <n v="3"/>
  </r>
  <r>
    <x v="9"/>
    <x v="11"/>
    <n v="2"/>
  </r>
  <r>
    <x v="9"/>
    <x v="80"/>
    <n v="2"/>
  </r>
  <r>
    <x v="9"/>
    <x v="15"/>
    <n v="2"/>
  </r>
  <r>
    <x v="9"/>
    <x v="32"/>
    <n v="2"/>
  </r>
  <r>
    <x v="9"/>
    <x v="30"/>
    <n v="2"/>
  </r>
  <r>
    <x v="9"/>
    <x v="81"/>
    <n v="1"/>
  </r>
  <r>
    <x v="9"/>
    <x v="64"/>
    <n v="1"/>
  </r>
  <r>
    <x v="9"/>
    <x v="82"/>
    <n v="1"/>
  </r>
  <r>
    <x v="9"/>
    <x v="42"/>
    <n v="1"/>
  </r>
  <r>
    <x v="9"/>
    <x v="66"/>
    <n v="1"/>
  </r>
  <r>
    <x v="9"/>
    <x v="22"/>
    <n v="1"/>
  </r>
  <r>
    <x v="9"/>
    <x v="56"/>
    <n v="1"/>
  </r>
  <r>
    <x v="9"/>
    <x v="38"/>
    <n v="1"/>
  </r>
  <r>
    <x v="9"/>
    <x v="83"/>
    <n v="1"/>
  </r>
  <r>
    <x v="9"/>
    <x v="74"/>
    <n v="1"/>
  </r>
  <r>
    <x v="9"/>
    <x v="17"/>
    <n v="1"/>
  </r>
  <r>
    <x v="9"/>
    <x v="84"/>
    <n v="1"/>
  </r>
  <r>
    <x v="9"/>
    <x v="53"/>
    <n v="1"/>
  </r>
  <r>
    <x v="9"/>
    <x v="85"/>
    <n v="1"/>
  </r>
  <r>
    <x v="9"/>
    <x v="86"/>
    <n v="1"/>
  </r>
  <r>
    <x v="9"/>
    <x v="87"/>
    <n v="1"/>
  </r>
  <r>
    <x v="9"/>
    <x v="68"/>
    <n v="1"/>
  </r>
  <r>
    <x v="9"/>
    <x v="59"/>
    <n v="1"/>
  </r>
  <r>
    <x v="9"/>
    <x v="23"/>
    <n v="1"/>
  </r>
  <r>
    <x v="9"/>
    <x v="62"/>
    <n v="1"/>
  </r>
  <r>
    <x v="9"/>
    <x v="88"/>
    <n v="1"/>
  </r>
  <r>
    <x v="9"/>
    <x v="44"/>
    <n v="1"/>
  </r>
  <r>
    <x v="9"/>
    <x v="89"/>
    <n v="1"/>
  </r>
  <r>
    <x v="10"/>
    <x v="0"/>
    <n v="41"/>
  </r>
  <r>
    <x v="10"/>
    <x v="6"/>
    <n v="25"/>
  </r>
  <r>
    <x v="10"/>
    <x v="1"/>
    <n v="23"/>
  </r>
  <r>
    <x v="10"/>
    <x v="9"/>
    <n v="22"/>
  </r>
  <r>
    <x v="10"/>
    <x v="8"/>
    <n v="22"/>
  </r>
  <r>
    <x v="10"/>
    <x v="2"/>
    <n v="19"/>
  </r>
  <r>
    <x v="10"/>
    <x v="3"/>
    <n v="19"/>
  </r>
  <r>
    <x v="10"/>
    <x v="5"/>
    <n v="18"/>
  </r>
  <r>
    <x v="10"/>
    <x v="4"/>
    <n v="10"/>
  </r>
  <r>
    <x v="10"/>
    <x v="10"/>
    <n v="5"/>
  </r>
  <r>
    <x v="10"/>
    <x v="7"/>
    <n v="3"/>
  </r>
  <r>
    <x v="10"/>
    <x v="12"/>
    <n v="3"/>
  </r>
  <r>
    <x v="10"/>
    <x v="25"/>
    <n v="3"/>
  </r>
  <r>
    <x v="10"/>
    <x v="14"/>
    <n v="1"/>
  </r>
  <r>
    <x v="10"/>
    <x v="90"/>
    <n v="1"/>
  </r>
  <r>
    <x v="10"/>
    <x v="51"/>
    <n v="1"/>
  </r>
  <r>
    <x v="10"/>
    <x v="24"/>
    <n v="1"/>
  </r>
  <r>
    <x v="10"/>
    <x v="34"/>
    <n v="1"/>
  </r>
  <r>
    <x v="10"/>
    <x v="11"/>
    <n v="1"/>
  </r>
  <r>
    <x v="10"/>
    <x v="33"/>
    <n v="1"/>
  </r>
  <r>
    <x v="10"/>
    <x v="91"/>
    <n v="1"/>
  </r>
  <r>
    <x v="10"/>
    <x v="13"/>
    <n v="1"/>
  </r>
  <r>
    <x v="10"/>
    <x v="42"/>
    <n v="1"/>
  </r>
  <r>
    <x v="10"/>
    <x v="22"/>
    <n v="1"/>
  </r>
  <r>
    <x v="11"/>
    <x v="0"/>
    <n v="32"/>
  </r>
  <r>
    <x v="11"/>
    <x v="1"/>
    <n v="15"/>
  </r>
  <r>
    <x v="11"/>
    <x v="3"/>
    <n v="13"/>
  </r>
  <r>
    <x v="11"/>
    <x v="4"/>
    <n v="10"/>
  </r>
  <r>
    <x v="11"/>
    <x v="6"/>
    <n v="10"/>
  </r>
  <r>
    <x v="11"/>
    <x v="2"/>
    <n v="9"/>
  </r>
  <r>
    <x v="11"/>
    <x v="10"/>
    <n v="7"/>
  </r>
  <r>
    <x v="11"/>
    <x v="8"/>
    <n v="5"/>
  </r>
  <r>
    <x v="11"/>
    <x v="12"/>
    <n v="4"/>
  </r>
  <r>
    <x v="11"/>
    <x v="9"/>
    <n v="3"/>
  </r>
  <r>
    <x v="11"/>
    <x v="14"/>
    <n v="2"/>
  </r>
  <r>
    <x v="11"/>
    <x v="5"/>
    <n v="2"/>
  </r>
  <r>
    <x v="11"/>
    <x v="30"/>
    <n v="1"/>
  </r>
  <r>
    <x v="11"/>
    <x v="62"/>
    <n v="1"/>
  </r>
  <r>
    <x v="11"/>
    <x v="11"/>
    <n v="1"/>
  </r>
  <r>
    <x v="11"/>
    <x v="34"/>
    <n v="1"/>
  </r>
  <r>
    <x v="11"/>
    <x v="7"/>
    <n v="1"/>
  </r>
  <r>
    <x v="12"/>
    <x v="0"/>
    <n v="49"/>
  </r>
  <r>
    <x v="12"/>
    <x v="1"/>
    <n v="22"/>
  </r>
  <r>
    <x v="12"/>
    <x v="3"/>
    <n v="18"/>
  </r>
  <r>
    <x v="12"/>
    <x v="6"/>
    <n v="14"/>
  </r>
  <r>
    <x v="12"/>
    <x v="8"/>
    <n v="13"/>
  </r>
  <r>
    <x v="12"/>
    <x v="2"/>
    <n v="12"/>
  </r>
  <r>
    <x v="12"/>
    <x v="4"/>
    <n v="12"/>
  </r>
  <r>
    <x v="12"/>
    <x v="9"/>
    <n v="10"/>
  </r>
  <r>
    <x v="12"/>
    <x v="10"/>
    <n v="9"/>
  </r>
  <r>
    <x v="12"/>
    <x v="24"/>
    <n v="9"/>
  </r>
  <r>
    <x v="12"/>
    <x v="7"/>
    <n v="8"/>
  </r>
  <r>
    <x v="12"/>
    <x v="5"/>
    <n v="6"/>
  </r>
  <r>
    <x v="12"/>
    <x v="14"/>
    <n v="3"/>
  </r>
  <r>
    <x v="12"/>
    <x v="15"/>
    <n v="2"/>
  </r>
  <r>
    <x v="12"/>
    <x v="30"/>
    <n v="2"/>
  </r>
  <r>
    <x v="12"/>
    <x v="13"/>
    <n v="2"/>
  </r>
  <r>
    <x v="12"/>
    <x v="59"/>
    <n v="1"/>
  </r>
  <r>
    <x v="12"/>
    <x v="43"/>
    <n v="1"/>
  </r>
  <r>
    <x v="12"/>
    <x v="11"/>
    <n v="1"/>
  </r>
  <r>
    <x v="12"/>
    <x v="51"/>
    <n v="1"/>
  </r>
  <r>
    <x v="12"/>
    <x v="28"/>
    <n v="1"/>
  </r>
  <r>
    <x v="12"/>
    <x v="82"/>
    <n v="1"/>
  </r>
  <r>
    <x v="12"/>
    <x v="27"/>
    <n v="1"/>
  </r>
  <r>
    <x v="12"/>
    <x v="39"/>
    <n v="1"/>
  </r>
  <r>
    <x v="12"/>
    <x v="60"/>
    <n v="1"/>
  </r>
  <r>
    <x v="12"/>
    <x v="34"/>
    <n v="1"/>
  </r>
  <r>
    <x v="12"/>
    <x v="61"/>
    <n v="1"/>
  </r>
  <r>
    <x v="13"/>
    <x v="7"/>
    <n v="40"/>
  </r>
  <r>
    <x v="13"/>
    <x v="0"/>
    <n v="13"/>
  </r>
  <r>
    <x v="13"/>
    <x v="9"/>
    <n v="8"/>
  </r>
  <r>
    <x v="13"/>
    <x v="8"/>
    <n v="7"/>
  </r>
  <r>
    <x v="13"/>
    <x v="4"/>
    <n v="6"/>
  </r>
  <r>
    <x v="13"/>
    <x v="13"/>
    <n v="5"/>
  </r>
  <r>
    <x v="13"/>
    <x v="10"/>
    <n v="5"/>
  </r>
  <r>
    <x v="13"/>
    <x v="5"/>
    <n v="5"/>
  </r>
  <r>
    <x v="13"/>
    <x v="1"/>
    <n v="4"/>
  </r>
  <r>
    <x v="13"/>
    <x v="6"/>
    <n v="4"/>
  </r>
  <r>
    <x v="13"/>
    <x v="3"/>
    <n v="4"/>
  </r>
  <r>
    <x v="13"/>
    <x v="2"/>
    <n v="3"/>
  </r>
  <r>
    <x v="13"/>
    <x v="22"/>
    <n v="2"/>
  </r>
  <r>
    <x v="13"/>
    <x v="62"/>
    <n v="1"/>
  </r>
  <r>
    <x v="13"/>
    <x v="58"/>
    <n v="1"/>
  </r>
  <r>
    <x v="13"/>
    <x v="26"/>
    <n v="1"/>
  </r>
  <r>
    <x v="13"/>
    <x v="34"/>
    <n v="1"/>
  </r>
  <r>
    <x v="14"/>
    <x v="0"/>
    <n v="28"/>
  </r>
  <r>
    <x v="14"/>
    <x v="9"/>
    <n v="11"/>
  </r>
  <r>
    <x v="14"/>
    <x v="2"/>
    <n v="7"/>
  </r>
  <r>
    <x v="14"/>
    <x v="3"/>
    <n v="7"/>
  </r>
  <r>
    <x v="14"/>
    <x v="1"/>
    <n v="6"/>
  </r>
  <r>
    <x v="14"/>
    <x v="10"/>
    <n v="5"/>
  </r>
  <r>
    <x v="14"/>
    <x v="8"/>
    <n v="5"/>
  </r>
  <r>
    <x v="14"/>
    <x v="6"/>
    <n v="4"/>
  </r>
  <r>
    <x v="14"/>
    <x v="4"/>
    <n v="3"/>
  </r>
  <r>
    <x v="14"/>
    <x v="5"/>
    <n v="3"/>
  </r>
  <r>
    <x v="14"/>
    <x v="88"/>
    <n v="1"/>
  </r>
  <r>
    <x v="14"/>
    <x v="79"/>
    <n v="1"/>
  </r>
  <r>
    <x v="14"/>
    <x v="14"/>
    <n v="1"/>
  </r>
  <r>
    <x v="14"/>
    <x v="60"/>
    <n v="1"/>
  </r>
  <r>
    <x v="14"/>
    <x v="34"/>
    <n v="1"/>
  </r>
  <r>
    <x v="14"/>
    <x v="63"/>
    <n v="1"/>
  </r>
  <r>
    <x v="14"/>
    <x v="92"/>
    <n v="1"/>
  </r>
  <r>
    <x v="14"/>
    <x v="62"/>
    <n v="1"/>
  </r>
  <r>
    <x v="14"/>
    <x v="66"/>
    <n v="1"/>
  </r>
  <r>
    <x v="14"/>
    <x v="12"/>
    <n v="1"/>
  </r>
  <r>
    <x v="15"/>
    <x v="0"/>
    <n v="14"/>
  </r>
  <r>
    <x v="15"/>
    <x v="3"/>
    <n v="13"/>
  </r>
  <r>
    <x v="15"/>
    <x v="6"/>
    <n v="11"/>
  </r>
  <r>
    <x v="15"/>
    <x v="2"/>
    <n v="9"/>
  </r>
  <r>
    <x v="15"/>
    <x v="4"/>
    <n v="6"/>
  </r>
  <r>
    <x v="15"/>
    <x v="1"/>
    <n v="6"/>
  </r>
  <r>
    <x v="15"/>
    <x v="9"/>
    <n v="5"/>
  </r>
  <r>
    <x v="15"/>
    <x v="10"/>
    <n v="3"/>
  </r>
  <r>
    <x v="15"/>
    <x v="5"/>
    <n v="3"/>
  </r>
  <r>
    <x v="15"/>
    <x v="23"/>
    <n v="1"/>
  </r>
  <r>
    <x v="15"/>
    <x v="59"/>
    <n v="1"/>
  </r>
  <r>
    <x v="15"/>
    <x v="8"/>
    <n v="1"/>
  </r>
  <r>
    <x v="15"/>
    <x v="85"/>
    <n v="1"/>
  </r>
  <r>
    <x v="15"/>
    <x v="39"/>
    <n v="1"/>
  </r>
  <r>
    <x v="16"/>
    <x v="0"/>
    <n v="24"/>
  </r>
  <r>
    <x v="16"/>
    <x v="8"/>
    <n v="16"/>
  </r>
  <r>
    <x v="16"/>
    <x v="6"/>
    <n v="10"/>
  </r>
  <r>
    <x v="16"/>
    <x v="9"/>
    <n v="10"/>
  </r>
  <r>
    <x v="16"/>
    <x v="1"/>
    <n v="10"/>
  </r>
  <r>
    <x v="16"/>
    <x v="4"/>
    <n v="8"/>
  </r>
  <r>
    <x v="16"/>
    <x v="3"/>
    <n v="7"/>
  </r>
  <r>
    <x v="16"/>
    <x v="5"/>
    <n v="6"/>
  </r>
  <r>
    <x v="16"/>
    <x v="10"/>
    <n v="5"/>
  </r>
  <r>
    <x v="16"/>
    <x v="2"/>
    <n v="4"/>
  </r>
  <r>
    <x v="16"/>
    <x v="12"/>
    <n v="3"/>
  </r>
  <r>
    <x v="16"/>
    <x v="64"/>
    <n v="1"/>
  </r>
  <r>
    <x v="16"/>
    <x v="63"/>
    <n v="1"/>
  </r>
  <r>
    <x v="16"/>
    <x v="93"/>
    <n v="1"/>
  </r>
  <r>
    <x v="16"/>
    <x v="66"/>
    <n v="1"/>
  </r>
  <r>
    <x v="16"/>
    <x v="94"/>
    <n v="1"/>
  </r>
  <r>
    <x v="16"/>
    <x v="7"/>
    <n v="1"/>
  </r>
  <r>
    <x v="16"/>
    <x v="32"/>
    <n v="1"/>
  </r>
  <r>
    <x v="16"/>
    <x v="72"/>
    <n v="1"/>
  </r>
  <r>
    <x v="16"/>
    <x v="88"/>
    <n v="1"/>
  </r>
  <r>
    <x v="16"/>
    <x v="22"/>
    <n v="1"/>
  </r>
  <r>
    <x v="16"/>
    <x v="90"/>
    <n v="1"/>
  </r>
  <r>
    <x v="17"/>
    <x v="0"/>
    <n v="32"/>
  </r>
  <r>
    <x v="17"/>
    <x v="1"/>
    <n v="11"/>
  </r>
  <r>
    <x v="17"/>
    <x v="24"/>
    <n v="9"/>
  </r>
  <r>
    <x v="17"/>
    <x v="5"/>
    <n v="9"/>
  </r>
  <r>
    <x v="17"/>
    <x v="2"/>
    <n v="6"/>
  </r>
  <r>
    <x v="17"/>
    <x v="3"/>
    <n v="6"/>
  </r>
  <r>
    <x v="17"/>
    <x v="8"/>
    <n v="4"/>
  </r>
  <r>
    <x v="17"/>
    <x v="9"/>
    <n v="4"/>
  </r>
  <r>
    <x v="17"/>
    <x v="4"/>
    <n v="4"/>
  </r>
  <r>
    <x v="17"/>
    <x v="6"/>
    <n v="3"/>
  </r>
  <r>
    <x v="17"/>
    <x v="60"/>
    <n v="1"/>
  </r>
  <r>
    <x v="17"/>
    <x v="10"/>
    <n v="1"/>
  </r>
  <r>
    <x v="17"/>
    <x v="92"/>
    <n v="1"/>
  </r>
  <r>
    <x v="17"/>
    <x v="34"/>
    <n v="1"/>
  </r>
  <r>
    <x v="17"/>
    <x v="14"/>
    <n v="1"/>
  </r>
  <r>
    <x v="17"/>
    <x v="79"/>
    <n v="1"/>
  </r>
  <r>
    <x v="17"/>
    <x v="66"/>
    <n v="1"/>
  </r>
  <r>
    <x v="17"/>
    <x v="95"/>
    <n v="1"/>
  </r>
  <r>
    <x v="17"/>
    <x v="88"/>
    <n v="1"/>
  </r>
  <r>
    <x v="17"/>
    <x v="30"/>
    <n v="1"/>
  </r>
  <r>
    <x v="17"/>
    <x v="62"/>
    <n v="1"/>
  </r>
  <r>
    <x v="18"/>
    <x v="0"/>
    <n v="18"/>
  </r>
  <r>
    <x v="18"/>
    <x v="6"/>
    <n v="14"/>
  </r>
  <r>
    <x v="18"/>
    <x v="2"/>
    <n v="11"/>
  </r>
  <r>
    <x v="18"/>
    <x v="4"/>
    <n v="8"/>
  </r>
  <r>
    <x v="18"/>
    <x v="1"/>
    <n v="8"/>
  </r>
  <r>
    <x v="18"/>
    <x v="5"/>
    <n v="7"/>
  </r>
  <r>
    <x v="18"/>
    <x v="9"/>
    <n v="6"/>
  </r>
  <r>
    <x v="18"/>
    <x v="3"/>
    <n v="6"/>
  </r>
  <r>
    <x v="18"/>
    <x v="57"/>
    <n v="2"/>
  </r>
  <r>
    <x v="18"/>
    <x v="35"/>
    <n v="1"/>
  </r>
  <r>
    <x v="18"/>
    <x v="51"/>
    <n v="1"/>
  </r>
  <r>
    <x v="18"/>
    <x v="64"/>
    <n v="1"/>
  </r>
  <r>
    <x v="18"/>
    <x v="96"/>
    <n v="1"/>
  </r>
  <r>
    <x v="18"/>
    <x v="11"/>
    <n v="1"/>
  </r>
  <r>
    <x v="18"/>
    <x v="10"/>
    <n v="1"/>
  </r>
  <r>
    <x v="18"/>
    <x v="50"/>
    <n v="1"/>
  </r>
  <r>
    <x v="18"/>
    <x v="17"/>
    <n v="1"/>
  </r>
  <r>
    <x v="18"/>
    <x v="8"/>
    <n v="1"/>
  </r>
  <r>
    <x v="18"/>
    <x v="14"/>
    <n v="1"/>
  </r>
  <r>
    <x v="19"/>
    <x v="0"/>
    <n v="210"/>
  </r>
  <r>
    <x v="19"/>
    <x v="1"/>
    <n v="86"/>
  </r>
  <r>
    <x v="19"/>
    <x v="3"/>
    <n v="85"/>
  </r>
  <r>
    <x v="19"/>
    <x v="6"/>
    <n v="74"/>
  </r>
  <r>
    <x v="19"/>
    <x v="2"/>
    <n v="73"/>
  </r>
  <r>
    <x v="19"/>
    <x v="4"/>
    <n v="59"/>
  </r>
  <r>
    <x v="19"/>
    <x v="9"/>
    <n v="56"/>
  </r>
  <r>
    <x v="19"/>
    <x v="5"/>
    <n v="51"/>
  </r>
  <r>
    <x v="19"/>
    <x v="8"/>
    <n v="50"/>
  </r>
  <r>
    <x v="19"/>
    <x v="10"/>
    <n v="37"/>
  </r>
  <r>
    <x v="19"/>
    <x v="7"/>
    <n v="12"/>
  </r>
  <r>
    <x v="19"/>
    <x v="14"/>
    <n v="10"/>
  </r>
  <r>
    <x v="19"/>
    <x v="12"/>
    <n v="8"/>
  </r>
  <r>
    <x v="19"/>
    <x v="24"/>
    <n v="6"/>
  </r>
  <r>
    <x v="19"/>
    <x v="15"/>
    <n v="5"/>
  </r>
  <r>
    <x v="19"/>
    <x v="51"/>
    <n v="4"/>
  </r>
  <r>
    <x v="19"/>
    <x v="11"/>
    <n v="4"/>
  </r>
  <r>
    <x v="19"/>
    <x v="61"/>
    <n v="3"/>
  </r>
  <r>
    <x v="19"/>
    <x v="66"/>
    <n v="3"/>
  </r>
  <r>
    <x v="19"/>
    <x v="35"/>
    <n v="3"/>
  </r>
  <r>
    <x v="19"/>
    <x v="97"/>
    <n v="2"/>
  </r>
  <r>
    <x v="19"/>
    <x v="98"/>
    <n v="2"/>
  </r>
  <r>
    <x v="19"/>
    <x v="99"/>
    <n v="2"/>
  </r>
  <r>
    <x v="19"/>
    <x v="84"/>
    <n v="2"/>
  </r>
  <r>
    <x v="19"/>
    <x v="79"/>
    <n v="2"/>
  </r>
  <r>
    <x v="19"/>
    <x v="89"/>
    <n v="2"/>
  </r>
  <r>
    <x v="19"/>
    <x v="19"/>
    <n v="2"/>
  </r>
  <r>
    <x v="19"/>
    <x v="85"/>
    <n v="2"/>
  </r>
  <r>
    <x v="19"/>
    <x v="56"/>
    <n v="2"/>
  </r>
  <r>
    <x v="19"/>
    <x v="25"/>
    <n v="2"/>
  </r>
  <r>
    <x v="19"/>
    <x v="30"/>
    <n v="2"/>
  </r>
  <r>
    <x v="19"/>
    <x v="50"/>
    <n v="2"/>
  </r>
  <r>
    <x v="19"/>
    <x v="22"/>
    <n v="2"/>
  </r>
  <r>
    <x v="19"/>
    <x v="27"/>
    <n v="2"/>
  </r>
  <r>
    <x v="19"/>
    <x v="40"/>
    <n v="1"/>
  </r>
  <r>
    <x v="19"/>
    <x v="100"/>
    <n v="1"/>
  </r>
  <r>
    <x v="19"/>
    <x v="37"/>
    <n v="1"/>
  </r>
  <r>
    <x v="19"/>
    <x v="92"/>
    <n v="1"/>
  </r>
  <r>
    <x v="19"/>
    <x v="17"/>
    <n v="1"/>
  </r>
  <r>
    <x v="19"/>
    <x v="33"/>
    <n v="1"/>
  </r>
  <r>
    <x v="19"/>
    <x v="101"/>
    <n v="1"/>
  </r>
  <r>
    <x v="19"/>
    <x v="102"/>
    <n v="1"/>
  </r>
  <r>
    <x v="19"/>
    <x v="57"/>
    <n v="1"/>
  </r>
  <r>
    <x v="19"/>
    <x v="21"/>
    <n v="1"/>
  </r>
  <r>
    <x v="19"/>
    <x v="42"/>
    <n v="1"/>
  </r>
  <r>
    <x v="19"/>
    <x v="34"/>
    <n v="1"/>
  </r>
  <r>
    <x v="19"/>
    <x v="23"/>
    <n v="1"/>
  </r>
  <r>
    <x v="19"/>
    <x v="103"/>
    <n v="1"/>
  </r>
  <r>
    <x v="19"/>
    <x v="74"/>
    <n v="1"/>
  </r>
  <r>
    <x v="19"/>
    <x v="104"/>
    <n v="1"/>
  </r>
  <r>
    <x v="19"/>
    <x v="105"/>
    <n v="1"/>
  </r>
  <r>
    <x v="19"/>
    <x v="13"/>
    <n v="1"/>
  </r>
  <r>
    <x v="19"/>
    <x v="39"/>
    <n v="1"/>
  </r>
  <r>
    <x v="19"/>
    <x v="62"/>
    <n v="1"/>
  </r>
  <r>
    <x v="19"/>
    <x v="43"/>
    <n v="1"/>
  </r>
  <r>
    <x v="19"/>
    <x v="44"/>
    <n v="1"/>
  </r>
  <r>
    <x v="19"/>
    <x v="68"/>
    <n v="1"/>
  </r>
  <r>
    <x v="19"/>
    <x v="18"/>
    <n v="1"/>
  </r>
  <r>
    <x v="20"/>
    <x v="0"/>
    <n v="38"/>
  </r>
  <r>
    <x v="20"/>
    <x v="1"/>
    <n v="22"/>
  </r>
  <r>
    <x v="20"/>
    <x v="2"/>
    <n v="20"/>
  </r>
  <r>
    <x v="20"/>
    <x v="4"/>
    <n v="13"/>
  </r>
  <r>
    <x v="20"/>
    <x v="5"/>
    <n v="12"/>
  </r>
  <r>
    <x v="20"/>
    <x v="3"/>
    <n v="11"/>
  </r>
  <r>
    <x v="20"/>
    <x v="10"/>
    <n v="10"/>
  </r>
  <r>
    <x v="20"/>
    <x v="8"/>
    <n v="8"/>
  </r>
  <r>
    <x v="20"/>
    <x v="6"/>
    <n v="7"/>
  </r>
  <r>
    <x v="20"/>
    <x v="11"/>
    <n v="3"/>
  </r>
  <r>
    <x v="20"/>
    <x v="51"/>
    <n v="2"/>
  </r>
  <r>
    <x v="20"/>
    <x v="9"/>
    <n v="2"/>
  </r>
  <r>
    <x v="20"/>
    <x v="19"/>
    <n v="2"/>
  </r>
  <r>
    <x v="20"/>
    <x v="106"/>
    <n v="1"/>
  </r>
  <r>
    <x v="20"/>
    <x v="24"/>
    <n v="1"/>
  </r>
  <r>
    <x v="20"/>
    <x v="48"/>
    <n v="1"/>
  </r>
  <r>
    <x v="20"/>
    <x v="90"/>
    <n v="1"/>
  </r>
  <r>
    <x v="20"/>
    <x v="67"/>
    <n v="1"/>
  </r>
  <r>
    <x v="20"/>
    <x v="73"/>
    <n v="1"/>
  </r>
  <r>
    <x v="20"/>
    <x v="12"/>
    <n v="1"/>
  </r>
  <r>
    <x v="20"/>
    <x v="77"/>
    <n v="1"/>
  </r>
  <r>
    <x v="20"/>
    <x v="107"/>
    <n v="1"/>
  </r>
  <r>
    <x v="20"/>
    <x v="108"/>
    <n v="1"/>
  </r>
  <r>
    <x v="20"/>
    <x v="109"/>
    <n v="1"/>
  </r>
  <r>
    <x v="21"/>
    <x v="0"/>
    <n v="67"/>
  </r>
  <r>
    <x v="21"/>
    <x v="5"/>
    <n v="36"/>
  </r>
  <r>
    <x v="21"/>
    <x v="1"/>
    <n v="35"/>
  </r>
  <r>
    <x v="21"/>
    <x v="4"/>
    <n v="30"/>
  </r>
  <r>
    <x v="21"/>
    <x v="2"/>
    <n v="28"/>
  </r>
  <r>
    <x v="21"/>
    <x v="3"/>
    <n v="26"/>
  </r>
  <r>
    <x v="21"/>
    <x v="8"/>
    <n v="24"/>
  </r>
  <r>
    <x v="21"/>
    <x v="9"/>
    <n v="20"/>
  </r>
  <r>
    <x v="21"/>
    <x v="6"/>
    <n v="14"/>
  </r>
  <r>
    <x v="21"/>
    <x v="11"/>
    <n v="4"/>
  </r>
  <r>
    <x v="21"/>
    <x v="10"/>
    <n v="3"/>
  </r>
  <r>
    <x v="21"/>
    <x v="51"/>
    <n v="2"/>
  </r>
  <r>
    <x v="21"/>
    <x v="91"/>
    <n v="1"/>
  </r>
  <r>
    <x v="21"/>
    <x v="92"/>
    <n v="1"/>
  </r>
  <r>
    <x v="21"/>
    <x v="73"/>
    <n v="1"/>
  </r>
  <r>
    <x v="21"/>
    <x v="14"/>
    <n v="1"/>
  </r>
  <r>
    <x v="21"/>
    <x v="110"/>
    <n v="1"/>
  </r>
  <r>
    <x v="21"/>
    <x v="64"/>
    <n v="1"/>
  </r>
  <r>
    <x v="21"/>
    <x v="38"/>
    <n v="1"/>
  </r>
  <r>
    <x v="21"/>
    <x v="23"/>
    <n v="1"/>
  </r>
  <r>
    <x v="21"/>
    <x v="35"/>
    <n v="1"/>
  </r>
  <r>
    <x v="21"/>
    <x v="86"/>
    <n v="1"/>
  </r>
  <r>
    <x v="21"/>
    <x v="34"/>
    <n v="1"/>
  </r>
  <r>
    <x v="21"/>
    <x v="32"/>
    <n v="1"/>
  </r>
  <r>
    <x v="21"/>
    <x v="104"/>
    <n v="1"/>
  </r>
  <r>
    <x v="21"/>
    <x v="7"/>
    <n v="1"/>
  </r>
  <r>
    <x v="21"/>
    <x v="63"/>
    <n v="1"/>
  </r>
  <r>
    <x v="21"/>
    <x v="62"/>
    <n v="1"/>
  </r>
  <r>
    <x v="21"/>
    <x v="88"/>
    <n v="1"/>
  </r>
  <r>
    <x v="21"/>
    <x v="111"/>
    <n v="1"/>
  </r>
  <r>
    <x v="21"/>
    <x v="25"/>
    <n v="1"/>
  </r>
  <r>
    <x v="21"/>
    <x v="93"/>
    <n v="1"/>
  </r>
  <r>
    <x v="22"/>
    <x v="10"/>
    <n v="22"/>
  </r>
  <r>
    <x v="22"/>
    <x v="0"/>
    <n v="12"/>
  </r>
  <r>
    <x v="22"/>
    <x v="3"/>
    <n v="6"/>
  </r>
  <r>
    <x v="22"/>
    <x v="1"/>
    <n v="6"/>
  </r>
  <r>
    <x v="22"/>
    <x v="2"/>
    <n v="5"/>
  </r>
  <r>
    <x v="22"/>
    <x v="4"/>
    <n v="5"/>
  </r>
  <r>
    <x v="22"/>
    <x v="12"/>
    <n v="2"/>
  </r>
  <r>
    <x v="22"/>
    <x v="6"/>
    <n v="2"/>
  </r>
  <r>
    <x v="22"/>
    <x v="5"/>
    <n v="1"/>
  </r>
  <r>
    <x v="22"/>
    <x v="9"/>
    <n v="1"/>
  </r>
  <r>
    <x v="22"/>
    <x v="8"/>
    <n v="1"/>
  </r>
  <r>
    <x v="22"/>
    <x v="99"/>
    <n v="1"/>
  </r>
  <r>
    <x v="23"/>
    <x v="0"/>
    <n v="31"/>
  </r>
  <r>
    <x v="23"/>
    <x v="1"/>
    <n v="14"/>
  </r>
  <r>
    <x v="23"/>
    <x v="3"/>
    <n v="12"/>
  </r>
  <r>
    <x v="23"/>
    <x v="4"/>
    <n v="8"/>
  </r>
  <r>
    <x v="23"/>
    <x v="5"/>
    <n v="7"/>
  </r>
  <r>
    <x v="23"/>
    <x v="10"/>
    <n v="6"/>
  </r>
  <r>
    <x v="23"/>
    <x v="2"/>
    <n v="5"/>
  </r>
  <r>
    <x v="23"/>
    <x v="12"/>
    <n v="4"/>
  </r>
  <r>
    <x v="23"/>
    <x v="6"/>
    <n v="4"/>
  </r>
  <r>
    <x v="23"/>
    <x v="15"/>
    <n v="2"/>
  </r>
  <r>
    <x v="23"/>
    <x v="9"/>
    <n v="2"/>
  </r>
  <r>
    <x v="23"/>
    <x v="14"/>
    <n v="2"/>
  </r>
  <r>
    <x v="23"/>
    <x v="8"/>
    <n v="2"/>
  </r>
  <r>
    <x v="23"/>
    <x v="19"/>
    <n v="2"/>
  </r>
  <r>
    <x v="23"/>
    <x v="33"/>
    <n v="1"/>
  </r>
  <r>
    <x v="23"/>
    <x v="68"/>
    <n v="1"/>
  </r>
  <r>
    <x v="23"/>
    <x v="56"/>
    <n v="1"/>
  </r>
  <r>
    <x v="23"/>
    <x v="17"/>
    <n v="1"/>
  </r>
  <r>
    <x v="23"/>
    <x v="79"/>
    <n v="1"/>
  </r>
  <r>
    <x v="24"/>
    <x v="10"/>
    <n v="59"/>
  </r>
  <r>
    <x v="24"/>
    <x v="0"/>
    <n v="38"/>
  </r>
  <r>
    <x v="24"/>
    <x v="2"/>
    <n v="14"/>
  </r>
  <r>
    <x v="24"/>
    <x v="1"/>
    <n v="12"/>
  </r>
  <r>
    <x v="24"/>
    <x v="3"/>
    <n v="11"/>
  </r>
  <r>
    <x v="24"/>
    <x v="6"/>
    <n v="10"/>
  </r>
  <r>
    <x v="24"/>
    <x v="4"/>
    <n v="9"/>
  </r>
  <r>
    <x v="24"/>
    <x v="9"/>
    <n v="9"/>
  </r>
  <r>
    <x v="24"/>
    <x v="12"/>
    <n v="6"/>
  </r>
  <r>
    <x v="24"/>
    <x v="8"/>
    <n v="6"/>
  </r>
  <r>
    <x v="24"/>
    <x v="7"/>
    <n v="3"/>
  </r>
  <r>
    <x v="24"/>
    <x v="14"/>
    <n v="2"/>
  </r>
  <r>
    <x v="24"/>
    <x v="5"/>
    <n v="2"/>
  </r>
  <r>
    <x v="24"/>
    <x v="67"/>
    <n v="1"/>
  </r>
  <r>
    <x v="24"/>
    <x v="112"/>
    <n v="1"/>
  </r>
  <r>
    <x v="24"/>
    <x v="32"/>
    <n v="1"/>
  </r>
  <r>
    <x v="24"/>
    <x v="99"/>
    <n v="1"/>
  </r>
  <r>
    <x v="24"/>
    <x v="56"/>
    <n v="1"/>
  </r>
  <r>
    <x v="25"/>
    <x v="0"/>
    <n v="42"/>
  </r>
  <r>
    <x v="25"/>
    <x v="4"/>
    <n v="28"/>
  </r>
  <r>
    <x v="25"/>
    <x v="1"/>
    <n v="25"/>
  </r>
  <r>
    <x v="25"/>
    <x v="5"/>
    <n v="23"/>
  </r>
  <r>
    <x v="25"/>
    <x v="3"/>
    <n v="22"/>
  </r>
  <r>
    <x v="25"/>
    <x v="6"/>
    <n v="21"/>
  </r>
  <r>
    <x v="25"/>
    <x v="2"/>
    <n v="20"/>
  </r>
  <r>
    <x v="25"/>
    <x v="8"/>
    <n v="19"/>
  </r>
  <r>
    <x v="25"/>
    <x v="9"/>
    <n v="15"/>
  </r>
  <r>
    <x v="25"/>
    <x v="14"/>
    <n v="4"/>
  </r>
  <r>
    <x v="25"/>
    <x v="34"/>
    <n v="3"/>
  </r>
  <r>
    <x v="25"/>
    <x v="79"/>
    <n v="1"/>
  </r>
  <r>
    <x v="25"/>
    <x v="85"/>
    <n v="1"/>
  </r>
  <r>
    <x v="25"/>
    <x v="11"/>
    <n v="1"/>
  </r>
  <r>
    <x v="25"/>
    <x v="64"/>
    <n v="1"/>
  </r>
  <r>
    <x v="25"/>
    <x v="23"/>
    <n v="1"/>
  </r>
  <r>
    <x v="25"/>
    <x v="62"/>
    <n v="1"/>
  </r>
  <r>
    <x v="25"/>
    <x v="66"/>
    <n v="1"/>
  </r>
  <r>
    <x v="25"/>
    <x v="88"/>
    <n v="1"/>
  </r>
  <r>
    <x v="25"/>
    <x v="84"/>
    <n v="1"/>
  </r>
  <r>
    <x v="25"/>
    <x v="44"/>
    <n v="1"/>
  </r>
  <r>
    <x v="26"/>
    <x v="0"/>
    <n v="125"/>
  </r>
  <r>
    <x v="26"/>
    <x v="1"/>
    <n v="70"/>
  </r>
  <r>
    <x v="26"/>
    <x v="4"/>
    <n v="54"/>
  </r>
  <r>
    <x v="26"/>
    <x v="2"/>
    <n v="52"/>
  </r>
  <r>
    <x v="26"/>
    <x v="3"/>
    <n v="51"/>
  </r>
  <r>
    <x v="26"/>
    <x v="6"/>
    <n v="49"/>
  </r>
  <r>
    <x v="26"/>
    <x v="10"/>
    <n v="42"/>
  </r>
  <r>
    <x v="26"/>
    <x v="5"/>
    <n v="28"/>
  </r>
  <r>
    <x v="26"/>
    <x v="9"/>
    <n v="25"/>
  </r>
  <r>
    <x v="26"/>
    <x v="8"/>
    <n v="20"/>
  </r>
  <r>
    <x v="26"/>
    <x v="14"/>
    <n v="6"/>
  </r>
  <r>
    <x v="26"/>
    <x v="12"/>
    <n v="5"/>
  </r>
  <r>
    <x v="26"/>
    <x v="79"/>
    <n v="3"/>
  </r>
  <r>
    <x v="26"/>
    <x v="11"/>
    <n v="3"/>
  </r>
  <r>
    <x v="26"/>
    <x v="84"/>
    <n v="3"/>
  </r>
  <r>
    <x v="26"/>
    <x v="7"/>
    <n v="3"/>
  </r>
  <r>
    <x v="26"/>
    <x v="77"/>
    <n v="2"/>
  </r>
  <r>
    <x v="26"/>
    <x v="66"/>
    <n v="2"/>
  </r>
  <r>
    <x v="26"/>
    <x v="19"/>
    <n v="2"/>
  </r>
  <r>
    <x v="26"/>
    <x v="62"/>
    <n v="2"/>
  </r>
  <r>
    <x v="26"/>
    <x v="95"/>
    <n v="2"/>
  </r>
  <r>
    <x v="26"/>
    <x v="25"/>
    <n v="2"/>
  </r>
  <r>
    <x v="26"/>
    <x v="50"/>
    <n v="2"/>
  </r>
  <r>
    <x v="26"/>
    <x v="24"/>
    <n v="1"/>
  </r>
  <r>
    <x v="26"/>
    <x v="113"/>
    <n v="1"/>
  </r>
  <r>
    <x v="26"/>
    <x v="44"/>
    <n v="1"/>
  </r>
  <r>
    <x v="26"/>
    <x v="61"/>
    <n v="1"/>
  </r>
  <r>
    <x v="26"/>
    <x v="88"/>
    <n v="1"/>
  </r>
  <r>
    <x v="26"/>
    <x v="57"/>
    <n v="1"/>
  </r>
  <r>
    <x v="26"/>
    <x v="22"/>
    <n v="1"/>
  </r>
  <r>
    <x v="26"/>
    <x v="114"/>
    <n v="1"/>
  </r>
  <r>
    <x v="26"/>
    <x v="13"/>
    <n v="1"/>
  </r>
  <r>
    <x v="26"/>
    <x v="56"/>
    <n v="1"/>
  </r>
  <r>
    <x v="26"/>
    <x v="37"/>
    <n v="1"/>
  </r>
  <r>
    <x v="26"/>
    <x v="105"/>
    <n v="1"/>
  </r>
  <r>
    <x v="26"/>
    <x v="74"/>
    <n v="1"/>
  </r>
  <r>
    <x v="26"/>
    <x v="35"/>
    <n v="1"/>
  </r>
  <r>
    <x v="26"/>
    <x v="17"/>
    <n v="1"/>
  </r>
  <r>
    <x v="26"/>
    <x v="69"/>
    <n v="1"/>
  </r>
  <r>
    <x v="26"/>
    <x v="34"/>
    <n v="1"/>
  </r>
  <r>
    <x v="26"/>
    <x v="96"/>
    <n v="1"/>
  </r>
  <r>
    <x v="26"/>
    <x v="99"/>
    <n v="1"/>
  </r>
  <r>
    <x v="26"/>
    <x v="15"/>
    <n v="1"/>
  </r>
  <r>
    <x v="26"/>
    <x v="30"/>
    <n v="1"/>
  </r>
  <r>
    <x v="26"/>
    <x v="33"/>
    <n v="1"/>
  </r>
  <r>
    <x v="27"/>
    <x v="0"/>
    <n v="21"/>
  </r>
  <r>
    <x v="27"/>
    <x v="6"/>
    <n v="11"/>
  </r>
  <r>
    <x v="27"/>
    <x v="2"/>
    <n v="11"/>
  </r>
  <r>
    <x v="27"/>
    <x v="1"/>
    <n v="9"/>
  </r>
  <r>
    <x v="27"/>
    <x v="3"/>
    <n v="6"/>
  </r>
  <r>
    <x v="27"/>
    <x v="10"/>
    <n v="6"/>
  </r>
  <r>
    <x v="27"/>
    <x v="5"/>
    <n v="5"/>
  </r>
  <r>
    <x v="27"/>
    <x v="4"/>
    <n v="4"/>
  </r>
  <r>
    <x v="27"/>
    <x v="9"/>
    <n v="4"/>
  </r>
  <r>
    <x v="27"/>
    <x v="50"/>
    <n v="2"/>
  </r>
  <r>
    <x v="27"/>
    <x v="12"/>
    <n v="2"/>
  </r>
  <r>
    <x v="27"/>
    <x v="7"/>
    <n v="1"/>
  </r>
  <r>
    <x v="27"/>
    <x v="25"/>
    <n v="1"/>
  </r>
  <r>
    <x v="27"/>
    <x v="11"/>
    <n v="1"/>
  </r>
  <r>
    <x v="27"/>
    <x v="13"/>
    <n v="1"/>
  </r>
  <r>
    <x v="27"/>
    <x v="65"/>
    <n v="1"/>
  </r>
  <r>
    <x v="27"/>
    <x v="14"/>
    <n v="1"/>
  </r>
  <r>
    <x v="27"/>
    <x v="64"/>
    <n v="1"/>
  </r>
  <r>
    <x v="28"/>
    <x v="0"/>
    <n v="24"/>
  </r>
  <r>
    <x v="28"/>
    <x v="4"/>
    <n v="15"/>
  </r>
  <r>
    <x v="28"/>
    <x v="6"/>
    <n v="14"/>
  </r>
  <r>
    <x v="28"/>
    <x v="3"/>
    <n v="12"/>
  </r>
  <r>
    <x v="28"/>
    <x v="1"/>
    <n v="9"/>
  </r>
  <r>
    <x v="28"/>
    <x v="10"/>
    <n v="7"/>
  </r>
  <r>
    <x v="28"/>
    <x v="8"/>
    <n v="7"/>
  </r>
  <r>
    <x v="28"/>
    <x v="9"/>
    <n v="5"/>
  </r>
  <r>
    <x v="28"/>
    <x v="24"/>
    <n v="5"/>
  </r>
  <r>
    <x v="28"/>
    <x v="2"/>
    <n v="4"/>
  </r>
  <r>
    <x v="28"/>
    <x v="5"/>
    <n v="4"/>
  </r>
  <r>
    <x v="28"/>
    <x v="14"/>
    <n v="3"/>
  </r>
  <r>
    <x v="28"/>
    <x v="15"/>
    <n v="3"/>
  </r>
  <r>
    <x v="28"/>
    <x v="7"/>
    <n v="2"/>
  </r>
  <r>
    <x v="28"/>
    <x v="27"/>
    <n v="2"/>
  </r>
  <r>
    <x v="28"/>
    <x v="62"/>
    <n v="1"/>
  </r>
  <r>
    <x v="28"/>
    <x v="43"/>
    <n v="1"/>
  </r>
  <r>
    <x v="28"/>
    <x v="38"/>
    <n v="1"/>
  </r>
  <r>
    <x v="28"/>
    <x v="52"/>
    <n v="1"/>
  </r>
  <r>
    <x v="28"/>
    <x v="50"/>
    <n v="1"/>
  </r>
  <r>
    <x v="28"/>
    <x v="59"/>
    <n v="1"/>
  </r>
  <r>
    <x v="28"/>
    <x v="74"/>
    <n v="1"/>
  </r>
  <r>
    <x v="28"/>
    <x v="12"/>
    <n v="1"/>
  </r>
  <r>
    <x v="28"/>
    <x v="19"/>
    <n v="1"/>
  </r>
  <r>
    <x v="28"/>
    <x v="61"/>
    <n v="1"/>
  </r>
  <r>
    <x v="28"/>
    <x v="60"/>
    <n v="1"/>
  </r>
  <r>
    <x v="28"/>
    <x v="30"/>
    <n v="1"/>
  </r>
  <r>
    <x v="29"/>
    <x v="0"/>
    <n v="26"/>
  </r>
  <r>
    <x v="29"/>
    <x v="8"/>
    <n v="12"/>
  </r>
  <r>
    <x v="29"/>
    <x v="1"/>
    <n v="11"/>
  </r>
  <r>
    <x v="29"/>
    <x v="6"/>
    <n v="9"/>
  </r>
  <r>
    <x v="29"/>
    <x v="4"/>
    <n v="7"/>
  </r>
  <r>
    <x v="29"/>
    <x v="3"/>
    <n v="7"/>
  </r>
  <r>
    <x v="29"/>
    <x v="5"/>
    <n v="6"/>
  </r>
  <r>
    <x v="29"/>
    <x v="2"/>
    <n v="5"/>
  </r>
  <r>
    <x v="29"/>
    <x v="9"/>
    <n v="5"/>
  </r>
  <r>
    <x v="29"/>
    <x v="10"/>
    <n v="3"/>
  </r>
  <r>
    <x v="29"/>
    <x v="24"/>
    <n v="2"/>
  </r>
  <r>
    <x v="29"/>
    <x v="14"/>
    <n v="2"/>
  </r>
  <r>
    <x v="29"/>
    <x v="64"/>
    <n v="1"/>
  </r>
  <r>
    <x v="29"/>
    <x v="32"/>
    <n v="1"/>
  </r>
  <r>
    <x v="29"/>
    <x v="90"/>
    <n v="1"/>
  </r>
  <r>
    <x v="29"/>
    <x v="11"/>
    <n v="1"/>
  </r>
  <r>
    <x v="29"/>
    <x v="44"/>
    <n v="1"/>
  </r>
  <r>
    <x v="29"/>
    <x v="92"/>
    <n v="1"/>
  </r>
  <r>
    <x v="29"/>
    <x v="25"/>
    <n v="1"/>
  </r>
  <r>
    <x v="29"/>
    <x v="34"/>
    <n v="1"/>
  </r>
  <r>
    <x v="29"/>
    <x v="63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x v="0"/>
  </r>
  <r>
    <x v="1"/>
    <x v="0"/>
    <x v="0"/>
  </r>
  <r>
    <x v="0"/>
    <x v="1"/>
    <x v="0"/>
  </r>
  <r>
    <x v="1"/>
    <x v="1"/>
    <x v="0"/>
  </r>
  <r>
    <x v="0"/>
    <x v="2"/>
    <x v="0"/>
  </r>
  <r>
    <x v="1"/>
    <x v="2"/>
    <x v="0"/>
  </r>
  <r>
    <x v="0"/>
    <x v="3"/>
    <x v="1"/>
  </r>
  <r>
    <x v="1"/>
    <x v="3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n v="189"/>
  </r>
  <r>
    <x v="0"/>
    <x v="1"/>
    <n v="134.4"/>
  </r>
  <r>
    <x v="0"/>
    <x v="2"/>
    <n v="100.8"/>
  </r>
  <r>
    <x v="0"/>
    <x v="3"/>
    <n v="75.599999999999994"/>
  </r>
  <r>
    <x v="1"/>
    <x v="0"/>
    <n v="231.79500000000002"/>
  </r>
  <r>
    <x v="1"/>
    <x v="1"/>
    <n v="164.83200000000002"/>
  </r>
  <r>
    <x v="1"/>
    <x v="2"/>
    <n v="123.624"/>
  </r>
  <r>
    <x v="1"/>
    <x v="3"/>
    <n v="92.718000000000004"/>
  </r>
  <r>
    <x v="2"/>
    <x v="0"/>
    <n v="293.76"/>
  </r>
  <r>
    <x v="2"/>
    <x v="1"/>
    <n v="208.89600000000002"/>
  </r>
  <r>
    <x v="2"/>
    <x v="2"/>
    <n v="156.672"/>
  </r>
  <r>
    <x v="2"/>
    <x v="3"/>
    <n v="117.50399999999999"/>
  </r>
  <r>
    <x v="3"/>
    <x v="0"/>
    <n v="324.45"/>
  </r>
  <r>
    <x v="3"/>
    <x v="1"/>
    <n v="230.72"/>
  </r>
  <r>
    <x v="3"/>
    <x v="2"/>
    <n v="173.04"/>
  </r>
  <r>
    <x v="3"/>
    <x v="3"/>
    <n v="129.78"/>
  </r>
  <r>
    <x v="4"/>
    <x v="0"/>
    <n v="383.76"/>
  </r>
  <r>
    <x v="4"/>
    <x v="1"/>
    <n v="272.89599999999996"/>
  </r>
  <r>
    <x v="4"/>
    <x v="2"/>
    <n v="204.672"/>
  </r>
  <r>
    <x v="4"/>
    <x v="3"/>
    <n v="153.50399999999999"/>
  </r>
  <r>
    <x v="5"/>
    <x v="0"/>
    <n v="429.97500000000002"/>
  </r>
  <r>
    <x v="5"/>
    <x v="1"/>
    <n v="305.76"/>
  </r>
  <r>
    <x v="5"/>
    <x v="2"/>
    <n v="229.32000000000002"/>
  </r>
  <r>
    <x v="5"/>
    <x v="3"/>
    <n v="171.989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A9F35E-5D29-4104-B076-2D9B7B8B3E48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1" firstHeaderRow="1" firstDataRow="2" firstDataCol="1"/>
  <pivotFields count="3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dataField="1" numFmtId="3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retained" fld="2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AA7AE9-DB6F-4B44-9058-C78C0177B51E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3">
    <pivotField axis="axisCol" showAll="0">
      <items count="3">
        <item x="0"/>
        <item x="1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dataField="1" numFmtId="3" showAll="0">
      <items count="4">
        <item x="1"/>
        <item x="2"/>
        <item x="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ount" fld="2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647F13-57FD-4A6F-B29C-48B9FBAD6E0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M35" firstHeaderRow="1" firstDataRow="2" firstDataCol="1"/>
  <pivotFields count="3">
    <pivotField axis="axisRow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Col" showAll="0">
      <items count="116">
        <item x="54"/>
        <item x="41"/>
        <item x="11"/>
        <item x="52"/>
        <item x="20"/>
        <item x="102"/>
        <item x="57"/>
        <item x="0"/>
        <item x="105"/>
        <item x="60"/>
        <item x="96"/>
        <item x="113"/>
        <item x="10"/>
        <item x="25"/>
        <item x="36"/>
        <item x="22"/>
        <item x="26"/>
        <item x="69"/>
        <item x="72"/>
        <item x="106"/>
        <item x="103"/>
        <item x="19"/>
        <item x="64"/>
        <item x="73"/>
        <item x="18"/>
        <item x="4"/>
        <item x="108"/>
        <item x="68"/>
        <item x="9"/>
        <item x="75"/>
        <item x="110"/>
        <item x="38"/>
        <item x="16"/>
        <item x="97"/>
        <item x="88"/>
        <item x="15"/>
        <item x="92"/>
        <item x="85"/>
        <item x="83"/>
        <item x="67"/>
        <item x="17"/>
        <item x="43"/>
        <item x="6"/>
        <item x="7"/>
        <item x="49"/>
        <item x="33"/>
        <item x="56"/>
        <item x="1"/>
        <item x="89"/>
        <item x="77"/>
        <item x="37"/>
        <item x="13"/>
        <item x="30"/>
        <item x="109"/>
        <item x="23"/>
        <item x="95"/>
        <item x="87"/>
        <item x="35"/>
        <item x="39"/>
        <item x="28"/>
        <item x="111"/>
        <item x="55"/>
        <item x="65"/>
        <item x="21"/>
        <item x="101"/>
        <item x="66"/>
        <item x="8"/>
        <item x="93"/>
        <item x="32"/>
        <item x="27"/>
        <item x="82"/>
        <item x="50"/>
        <item x="98"/>
        <item x="63"/>
        <item x="86"/>
        <item x="2"/>
        <item x="70"/>
        <item x="44"/>
        <item x="40"/>
        <item x="45"/>
        <item x="42"/>
        <item x="90"/>
        <item x="51"/>
        <item x="5"/>
        <item x="107"/>
        <item x="58"/>
        <item x="3"/>
        <item x="76"/>
        <item x="46"/>
        <item x="24"/>
        <item x="74"/>
        <item x="12"/>
        <item x="71"/>
        <item x="14"/>
        <item x="80"/>
        <item x="100"/>
        <item x="62"/>
        <item x="29"/>
        <item x="91"/>
        <item x="112"/>
        <item x="61"/>
        <item x="34"/>
        <item x="81"/>
        <item x="47"/>
        <item x="114"/>
        <item x="59"/>
        <item x="84"/>
        <item x="48"/>
        <item x="94"/>
        <item x="53"/>
        <item x="31"/>
        <item x="104"/>
        <item x="78"/>
        <item x="99"/>
        <item x="79"/>
        <item t="default"/>
      </items>
    </pivotField>
    <pivotField dataField="1" showAl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1"/>
  </colFields>
  <colItems count="1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 t="grand">
      <x/>
    </i>
  </colItems>
  <dataFields count="1">
    <dataField name="Sum of n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killData" displayName="SkillData" ref="A4:C796" totalsRowShown="0">
  <autoFilter ref="A4:C796" xr:uid="{00000000-0009-0000-0100-000001000000}"/>
  <tableColumns count="3">
    <tableColumn id="1" xr3:uid="{00000000-0010-0000-0000-000001000000}" name="skill"/>
    <tableColumn id="2" xr3:uid="{00000000-0010-0000-0000-000002000000}" name="city"/>
    <tableColumn id="3" xr3:uid="{00000000-0010-0000-0000-000003000000}" name="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zoomScaleNormal="100" workbookViewId="0"/>
  </sheetViews>
  <sheetFormatPr defaultColWidth="8.6640625" defaultRowHeight="14.4" x14ac:dyDescent="0.3"/>
  <cols>
    <col min="1" max="1" width="22" customWidth="1"/>
    <col min="2" max="2" width="18" customWidth="1"/>
    <col min="3" max="3" width="4" customWidth="1"/>
    <col min="4" max="4" width="22" customWidth="1"/>
    <col min="5" max="5" width="18" customWidth="1"/>
  </cols>
  <sheetData>
    <row r="1" spans="1:5" ht="17.399999999999999" x14ac:dyDescent="0.3">
      <c r="A1" s="1" t="s">
        <v>0</v>
      </c>
    </row>
    <row r="2" spans="1:5" x14ac:dyDescent="0.3">
      <c r="A2" s="2" t="s">
        <v>1</v>
      </c>
    </row>
    <row r="4" spans="1:5" x14ac:dyDescent="0.3">
      <c r="A4" s="3" t="s">
        <v>2</v>
      </c>
      <c r="B4" s="3" t="s">
        <v>3</v>
      </c>
      <c r="D4" s="3" t="s">
        <v>4</v>
      </c>
      <c r="E4" s="3" t="s">
        <v>3</v>
      </c>
    </row>
    <row r="5" spans="1:5" x14ac:dyDescent="0.3">
      <c r="A5" s="4" t="s">
        <v>5</v>
      </c>
      <c r="B5" s="5">
        <v>9014</v>
      </c>
      <c r="D5" s="4" t="s">
        <v>6</v>
      </c>
      <c r="E5" s="6">
        <f>TAM</f>
        <v>8400</v>
      </c>
    </row>
    <row r="6" spans="1:5" x14ac:dyDescent="0.3">
      <c r="A6" s="4" t="s">
        <v>7</v>
      </c>
      <c r="B6" s="7">
        <v>0.13500000000000001</v>
      </c>
      <c r="D6" s="4" t="s">
        <v>8</v>
      </c>
      <c r="E6" s="8">
        <f>YoY</f>
        <v>0.22</v>
      </c>
    </row>
    <row r="7" spans="1:5" x14ac:dyDescent="0.3">
      <c r="A7" s="4" t="s">
        <v>9</v>
      </c>
      <c r="B7" s="7">
        <v>0.76300000000000001</v>
      </c>
      <c r="D7" s="4" t="s">
        <v>10</v>
      </c>
      <c r="E7" s="6">
        <f>NPV_Enterprise</f>
        <v>33.472031363677303</v>
      </c>
    </row>
    <row r="8" spans="1:5" x14ac:dyDescent="0.3">
      <c r="A8" s="4" t="s">
        <v>11</v>
      </c>
      <c r="B8" s="9">
        <v>5.99</v>
      </c>
      <c r="D8" s="4" t="s">
        <v>12</v>
      </c>
      <c r="E8" s="8">
        <f>IRR_Project</f>
        <v>0.74901246100044472</v>
      </c>
    </row>
    <row r="9" spans="1:5" x14ac:dyDescent="0.3">
      <c r="D9" s="4" t="s">
        <v>13</v>
      </c>
      <c r="E9" s="8">
        <f>AB_Lift</f>
        <v>0.10273972602739723</v>
      </c>
    </row>
    <row r="10" spans="1:5" x14ac:dyDescent="0.3">
      <c r="D10" s="4" t="s">
        <v>14</v>
      </c>
      <c r="E10" s="8">
        <f>AB_Prob</f>
        <v>0.98599999999999999</v>
      </c>
    </row>
    <row r="11" spans="1:5" x14ac:dyDescent="0.3">
      <c r="D11" s="4" t="s">
        <v>15</v>
      </c>
      <c r="E11" s="10">
        <f>JA_Score</f>
        <v>4.34</v>
      </c>
    </row>
    <row r="14" spans="1:5" x14ac:dyDescent="0.3">
      <c r="A14" s="3" t="s">
        <v>16</v>
      </c>
    </row>
    <row r="15" spans="1:5" x14ac:dyDescent="0.3">
      <c r="A15" s="4" t="s">
        <v>17</v>
      </c>
    </row>
    <row r="16" spans="1:5" x14ac:dyDescent="0.3">
      <c r="A16" s="4" t="s">
        <v>18</v>
      </c>
    </row>
    <row r="17" spans="1:1" x14ac:dyDescent="0.3">
      <c r="A17" s="4" t="s">
        <v>19</v>
      </c>
    </row>
    <row r="18" spans="1:1" x14ac:dyDescent="0.3">
      <c r="A18" s="4" t="s">
        <v>20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zoomScaleNormal="100" workbookViewId="0"/>
  </sheetViews>
  <sheetFormatPr defaultColWidth="8.6640625" defaultRowHeight="14.4" x14ac:dyDescent="0.3"/>
  <cols>
    <col min="1" max="1" width="34" customWidth="1"/>
    <col min="2" max="4" width="16" customWidth="1"/>
    <col min="5" max="5" width="24" customWidth="1"/>
  </cols>
  <sheetData>
    <row r="1" spans="1:3" ht="17.399999999999999" x14ac:dyDescent="0.3">
      <c r="A1" s="1" t="s">
        <v>21</v>
      </c>
    </row>
    <row r="2" spans="1:3" x14ac:dyDescent="0.3">
      <c r="A2" s="2" t="s">
        <v>22</v>
      </c>
    </row>
    <row r="4" spans="1:3" x14ac:dyDescent="0.3">
      <c r="A4" s="3" t="s">
        <v>23</v>
      </c>
      <c r="B4" s="3" t="s">
        <v>3</v>
      </c>
    </row>
    <row r="5" spans="1:3" x14ac:dyDescent="0.3">
      <c r="A5" s="4" t="s">
        <v>24</v>
      </c>
      <c r="B5" s="11">
        <v>8400</v>
      </c>
    </row>
    <row r="6" spans="1:3" x14ac:dyDescent="0.3">
      <c r="A6" s="4" t="s">
        <v>8</v>
      </c>
      <c r="B6" s="12">
        <v>0.22</v>
      </c>
    </row>
    <row r="8" spans="1:3" x14ac:dyDescent="0.3">
      <c r="A8" s="3" t="s">
        <v>25</v>
      </c>
      <c r="B8" s="3" t="s">
        <v>26</v>
      </c>
      <c r="C8" s="3" t="s">
        <v>27</v>
      </c>
    </row>
    <row r="9" spans="1:3" x14ac:dyDescent="0.3">
      <c r="A9" s="4" t="s">
        <v>28</v>
      </c>
      <c r="B9" s="13">
        <f>1</f>
        <v>1</v>
      </c>
      <c r="C9" s="14">
        <f>TAM</f>
        <v>8400</v>
      </c>
    </row>
    <row r="10" spans="1:3" x14ac:dyDescent="0.3">
      <c r="A10" s="4" t="s">
        <v>29</v>
      </c>
      <c r="B10" s="13">
        <f>VLOOKUP("Tech/IT",$A$21:$B$24,2,FALSE())</f>
        <v>0.45</v>
      </c>
      <c r="C10" s="14">
        <f>C9*B10</f>
        <v>3780</v>
      </c>
    </row>
    <row r="11" spans="1:3" x14ac:dyDescent="0.3">
      <c r="A11" s="4" t="s">
        <v>30</v>
      </c>
      <c r="B11" s="12">
        <v>1.2E-2</v>
      </c>
      <c r="C11" s="14">
        <f>C10*B11</f>
        <v>45.36</v>
      </c>
    </row>
    <row r="13" spans="1:3" x14ac:dyDescent="0.3">
      <c r="A13" s="3" t="s">
        <v>31</v>
      </c>
      <c r="B13" s="3" t="s">
        <v>3</v>
      </c>
    </row>
    <row r="14" spans="1:3" x14ac:dyDescent="0.3">
      <c r="A14" s="4" t="s">
        <v>32</v>
      </c>
      <c r="B14" s="15">
        <v>140000</v>
      </c>
    </row>
    <row r="15" spans="1:3" x14ac:dyDescent="0.3">
      <c r="A15" s="4" t="s">
        <v>33</v>
      </c>
      <c r="B15" s="12">
        <v>0.06</v>
      </c>
    </row>
    <row r="16" spans="1:3" x14ac:dyDescent="0.3">
      <c r="A16" s="4" t="s">
        <v>34</v>
      </c>
      <c r="B16" s="16">
        <f>B14*B15</f>
        <v>8400</v>
      </c>
    </row>
    <row r="17" spans="1:2" x14ac:dyDescent="0.3">
      <c r="A17" s="4" t="s">
        <v>35</v>
      </c>
      <c r="B17" s="15">
        <v>38000</v>
      </c>
    </row>
    <row r="18" spans="1:2" x14ac:dyDescent="0.3">
      <c r="A18" s="4" t="s">
        <v>36</v>
      </c>
      <c r="B18" s="14">
        <f>B16*B17/10000000</f>
        <v>31.92</v>
      </c>
    </row>
    <row r="20" spans="1:2" x14ac:dyDescent="0.3">
      <c r="A20" s="3" t="s">
        <v>37</v>
      </c>
      <c r="B20" s="3" t="s">
        <v>26</v>
      </c>
    </row>
    <row r="21" spans="1:2" x14ac:dyDescent="0.3">
      <c r="A21" s="4" t="s">
        <v>38</v>
      </c>
      <c r="B21" s="12">
        <v>1</v>
      </c>
    </row>
    <row r="22" spans="1:2" x14ac:dyDescent="0.3">
      <c r="A22" s="4" t="s">
        <v>39</v>
      </c>
      <c r="B22" s="12">
        <v>0.45</v>
      </c>
    </row>
    <row r="23" spans="1:2" x14ac:dyDescent="0.3">
      <c r="A23" s="4" t="s">
        <v>40</v>
      </c>
      <c r="B23" s="12">
        <v>0.18</v>
      </c>
    </row>
    <row r="24" spans="1:2" x14ac:dyDescent="0.3">
      <c r="A24" s="4" t="s">
        <v>41</v>
      </c>
      <c r="B24" s="12">
        <v>0.37</v>
      </c>
    </row>
    <row r="26" spans="1:2" x14ac:dyDescent="0.3">
      <c r="A26" s="2" t="s">
        <v>42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7"/>
  <sheetViews>
    <sheetView zoomScaleNormal="100" workbookViewId="0"/>
  </sheetViews>
  <sheetFormatPr defaultColWidth="8.6640625" defaultRowHeight="14.4" x14ac:dyDescent="0.3"/>
  <cols>
    <col min="1" max="1" width="30" customWidth="1"/>
    <col min="2" max="7" width="13" customWidth="1"/>
  </cols>
  <sheetData>
    <row r="1" spans="1:7" ht="17.399999999999999" x14ac:dyDescent="0.3">
      <c r="A1" s="1" t="s">
        <v>43</v>
      </c>
    </row>
    <row r="2" spans="1:7" x14ac:dyDescent="0.3">
      <c r="A2" s="2" t="s">
        <v>44</v>
      </c>
    </row>
    <row r="4" spans="1:7" x14ac:dyDescent="0.3">
      <c r="A4" s="3" t="s">
        <v>23</v>
      </c>
      <c r="B4" s="3" t="s">
        <v>3</v>
      </c>
    </row>
    <row r="5" spans="1:7" x14ac:dyDescent="0.3">
      <c r="A5" s="4" t="s">
        <v>45</v>
      </c>
      <c r="B5" s="12">
        <v>0.18</v>
      </c>
    </row>
    <row r="6" spans="1:7" x14ac:dyDescent="0.3">
      <c r="A6" s="4" t="s">
        <v>46</v>
      </c>
      <c r="B6" s="12">
        <v>0.04</v>
      </c>
    </row>
    <row r="7" spans="1:7" x14ac:dyDescent="0.3">
      <c r="A7" s="4" t="s">
        <v>47</v>
      </c>
      <c r="B7" s="12">
        <v>0.25</v>
      </c>
    </row>
    <row r="8" spans="1:7" x14ac:dyDescent="0.3">
      <c r="A8" s="4" t="s">
        <v>48</v>
      </c>
      <c r="B8" s="12">
        <v>0.22</v>
      </c>
    </row>
    <row r="9" spans="1:7" x14ac:dyDescent="0.3">
      <c r="A9" s="4" t="s">
        <v>49</v>
      </c>
      <c r="B9" s="12">
        <v>0.55000000000000004</v>
      </c>
    </row>
    <row r="10" spans="1:7" x14ac:dyDescent="0.3">
      <c r="A10" s="4" t="s">
        <v>50</v>
      </c>
      <c r="B10" s="11">
        <v>3</v>
      </c>
    </row>
    <row r="11" spans="1:7" x14ac:dyDescent="0.3">
      <c r="A11" s="4" t="s">
        <v>51</v>
      </c>
      <c r="B11" s="17">
        <f>SOM_value</f>
        <v>45.36</v>
      </c>
    </row>
    <row r="12" spans="1:7" x14ac:dyDescent="0.3">
      <c r="A12" s="4" t="s">
        <v>52</v>
      </c>
      <c r="C12" s="12">
        <v>0.1</v>
      </c>
      <c r="D12" s="12">
        <v>0.28000000000000003</v>
      </c>
      <c r="E12" s="12">
        <v>0.5</v>
      </c>
      <c r="F12" s="12">
        <v>0.75</v>
      </c>
      <c r="G12" s="12">
        <v>1</v>
      </c>
    </row>
    <row r="14" spans="1:7" x14ac:dyDescent="0.3">
      <c r="A14" s="3" t="s">
        <v>53</v>
      </c>
      <c r="B14" s="18" t="s">
        <v>54</v>
      </c>
      <c r="C14" s="18" t="s">
        <v>55</v>
      </c>
      <c r="D14" s="18" t="s">
        <v>56</v>
      </c>
      <c r="E14" s="18" t="s">
        <v>57</v>
      </c>
      <c r="F14" s="18" t="s">
        <v>58</v>
      </c>
    </row>
    <row r="15" spans="1:7" x14ac:dyDescent="0.3">
      <c r="A15" s="4" t="s">
        <v>59</v>
      </c>
      <c r="C15" s="14">
        <f>$B$11*C12</f>
        <v>4.5360000000000005</v>
      </c>
      <c r="D15" s="14">
        <f>$B$11*D12</f>
        <v>12.700800000000001</v>
      </c>
      <c r="E15" s="14">
        <f>$B$11*E12</f>
        <v>22.68</v>
      </c>
      <c r="F15" s="14">
        <f>$B$11*F12</f>
        <v>34.019999999999996</v>
      </c>
      <c r="G15" s="14">
        <f>$B$11*G12</f>
        <v>45.36</v>
      </c>
    </row>
    <row r="16" spans="1:7" x14ac:dyDescent="0.3">
      <c r="A16" s="4" t="s">
        <v>60</v>
      </c>
      <c r="C16" s="14">
        <f>-C15*$B$8</f>
        <v>-0.99792000000000014</v>
      </c>
      <c r="D16" s="14">
        <f>-D15*$B$8</f>
        <v>-2.7941760000000002</v>
      </c>
      <c r="E16" s="14">
        <f>-E15*$B$8</f>
        <v>-4.9896000000000003</v>
      </c>
      <c r="F16" s="14">
        <f>-F15*$B$8</f>
        <v>-7.4843999999999991</v>
      </c>
      <c r="G16" s="14">
        <f>-G15*$B$8</f>
        <v>-9.9792000000000005</v>
      </c>
    </row>
    <row r="17" spans="1:7" x14ac:dyDescent="0.3">
      <c r="A17" s="4" t="s">
        <v>61</v>
      </c>
      <c r="C17" s="14">
        <f>C15+C16</f>
        <v>3.5380800000000003</v>
      </c>
      <c r="D17" s="14">
        <f>D15+D16</f>
        <v>9.9066240000000008</v>
      </c>
      <c r="E17" s="14">
        <f>E15+E16</f>
        <v>17.6904</v>
      </c>
      <c r="F17" s="14">
        <f>F15+F16</f>
        <v>26.535599999999995</v>
      </c>
      <c r="G17" s="14">
        <f>G15+G16</f>
        <v>35.380800000000001</v>
      </c>
    </row>
    <row r="18" spans="1:7" x14ac:dyDescent="0.3">
      <c r="A18" s="4" t="s">
        <v>62</v>
      </c>
      <c r="C18" s="14">
        <f>-C15*$B$9</f>
        <v>-2.4948000000000006</v>
      </c>
      <c r="D18" s="14">
        <f>-D15*$B$9</f>
        <v>-6.9854400000000014</v>
      </c>
      <c r="E18" s="14">
        <f>-E15*$B$9</f>
        <v>-12.474</v>
      </c>
      <c r="F18" s="14">
        <f>-F15*$B$9</f>
        <v>-18.710999999999999</v>
      </c>
      <c r="G18" s="14">
        <f>-G15*$B$9</f>
        <v>-24.948</v>
      </c>
    </row>
    <row r="19" spans="1:7" x14ac:dyDescent="0.3">
      <c r="A19" s="4" t="s">
        <v>63</v>
      </c>
      <c r="C19" s="14">
        <f>C17+C18</f>
        <v>1.0432799999999998</v>
      </c>
      <c r="D19" s="14">
        <f>D17+D18</f>
        <v>2.9211839999999993</v>
      </c>
      <c r="E19" s="14">
        <f>E17+E18</f>
        <v>5.2164000000000001</v>
      </c>
      <c r="F19" s="14">
        <f>F17+F18</f>
        <v>7.8245999999999967</v>
      </c>
      <c r="G19" s="14">
        <f>G17+G18</f>
        <v>10.4328</v>
      </c>
    </row>
    <row r="20" spans="1:7" x14ac:dyDescent="0.3">
      <c r="A20" s="4" t="s">
        <v>64</v>
      </c>
      <c r="C20" s="13">
        <f>C19/C15</f>
        <v>0.22999999999999993</v>
      </c>
      <c r="D20" s="13">
        <f>D19/D15</f>
        <v>0.22999999999999993</v>
      </c>
      <c r="E20" s="13">
        <f>E19/E15</f>
        <v>0.23</v>
      </c>
      <c r="F20" s="13">
        <f>F19/F15</f>
        <v>0.22999999999999993</v>
      </c>
      <c r="G20" s="13">
        <f>G19/G15</f>
        <v>0.23</v>
      </c>
    </row>
    <row r="21" spans="1:7" x14ac:dyDescent="0.3">
      <c r="A21" s="4" t="s">
        <v>65</v>
      </c>
      <c r="C21" s="14">
        <f>-MAX(C19,0)*$B$7</f>
        <v>-0.26081999999999994</v>
      </c>
      <c r="D21" s="14">
        <f>-MAX(D19,0)*$B$7</f>
        <v>-0.73029599999999983</v>
      </c>
      <c r="E21" s="14">
        <f>-MAX(E19,0)*$B$7</f>
        <v>-1.3041</v>
      </c>
      <c r="F21" s="14">
        <f>-MAX(F19,0)*$B$7</f>
        <v>-1.9561499999999992</v>
      </c>
      <c r="G21" s="14">
        <f>-MAX(G19,0)*$B$7</f>
        <v>-2.6082000000000001</v>
      </c>
    </row>
    <row r="22" spans="1:7" x14ac:dyDescent="0.3">
      <c r="A22" s="4" t="s">
        <v>66</v>
      </c>
      <c r="C22" s="14">
        <f>C19+C21</f>
        <v>0.78245999999999982</v>
      </c>
      <c r="D22" s="14">
        <f>D19+D21</f>
        <v>2.1908879999999993</v>
      </c>
      <c r="E22" s="14">
        <f>E19+E21</f>
        <v>3.9123000000000001</v>
      </c>
      <c r="F22" s="14">
        <f>F19+F21</f>
        <v>5.8684499999999975</v>
      </c>
      <c r="G22" s="14">
        <f>G19+G21</f>
        <v>7.8246000000000002</v>
      </c>
    </row>
    <row r="24" spans="1:7" x14ac:dyDescent="0.3">
      <c r="A24" s="3" t="s">
        <v>67</v>
      </c>
      <c r="B24" s="18" t="s">
        <v>68</v>
      </c>
      <c r="C24" s="18" t="s">
        <v>54</v>
      </c>
      <c r="D24" s="18" t="s">
        <v>55</v>
      </c>
      <c r="E24" s="18" t="s">
        <v>56</v>
      </c>
      <c r="F24" s="18" t="s">
        <v>57</v>
      </c>
      <c r="G24" s="18" t="s">
        <v>58</v>
      </c>
    </row>
    <row r="25" spans="1:7" x14ac:dyDescent="0.3">
      <c r="A25" s="4" t="s">
        <v>69</v>
      </c>
      <c r="B25" s="19">
        <f>DATE(2025,1,1)</f>
        <v>45658</v>
      </c>
      <c r="C25" s="19">
        <f>DATE(2026,1,1)</f>
        <v>46023</v>
      </c>
      <c r="D25" s="19">
        <f>DATE(2027,1,1)</f>
        <v>46388</v>
      </c>
      <c r="E25" s="19">
        <f>DATE(2028,1,1)</f>
        <v>46753</v>
      </c>
      <c r="F25" s="19">
        <f>DATE(2029,1,1)</f>
        <v>47119</v>
      </c>
      <c r="G25" s="19">
        <f>DATE(2030,1,1)</f>
        <v>47484</v>
      </c>
    </row>
    <row r="26" spans="1:7" x14ac:dyDescent="0.3">
      <c r="A26" s="4" t="s">
        <v>70</v>
      </c>
      <c r="B26" s="14">
        <f>-B10</f>
        <v>-3</v>
      </c>
      <c r="C26" s="14">
        <f>C22</f>
        <v>0.78245999999999982</v>
      </c>
      <c r="D26" s="14">
        <f>D22</f>
        <v>2.1908879999999993</v>
      </c>
      <c r="E26" s="14">
        <f>E22</f>
        <v>3.9123000000000001</v>
      </c>
      <c r="F26" s="14">
        <f>F22</f>
        <v>5.8684499999999975</v>
      </c>
      <c r="G26" s="14">
        <f>G22</f>
        <v>7.8246000000000002</v>
      </c>
    </row>
    <row r="27" spans="1:7" x14ac:dyDescent="0.3">
      <c r="A27" s="4" t="s">
        <v>71</v>
      </c>
      <c r="B27" s="14">
        <f>B26</f>
        <v>-3</v>
      </c>
      <c r="C27" s="14">
        <f>B27+C26</f>
        <v>-2.2175400000000001</v>
      </c>
      <c r="D27" s="14">
        <f>C27+D26</f>
        <v>-2.6652000000000786E-2</v>
      </c>
      <c r="E27" s="14">
        <f>D27+E26</f>
        <v>3.8856479999999993</v>
      </c>
      <c r="F27" s="14">
        <f>E27+F26</f>
        <v>9.7540979999999973</v>
      </c>
      <c r="G27" s="14">
        <f>F27+G26</f>
        <v>17.578697999999996</v>
      </c>
    </row>
    <row r="28" spans="1:7" x14ac:dyDescent="0.3">
      <c r="A28" s="3" t="s">
        <v>72</v>
      </c>
      <c r="B28" s="3" t="s">
        <v>3</v>
      </c>
    </row>
    <row r="29" spans="1:7" x14ac:dyDescent="0.3">
      <c r="A29" s="4" t="s">
        <v>73</v>
      </c>
      <c r="B29" s="14">
        <f>G26*(1+B6)/(B5-B6)</f>
        <v>58.125600000000006</v>
      </c>
    </row>
    <row r="30" spans="1:7" x14ac:dyDescent="0.3">
      <c r="A30" s="4" t="s">
        <v>74</v>
      </c>
      <c r="B30" s="14">
        <f>B29/(1+B5)^5</f>
        <v>25.407235458925154</v>
      </c>
    </row>
    <row r="31" spans="1:7" x14ac:dyDescent="0.3">
      <c r="A31" s="4" t="s">
        <v>75</v>
      </c>
      <c r="B31" s="14">
        <f>NPV(B5,C26:G26)</f>
        <v>11.064795904752147</v>
      </c>
    </row>
    <row r="32" spans="1:7" x14ac:dyDescent="0.3">
      <c r="A32" s="4" t="s">
        <v>76</v>
      </c>
      <c r="B32" s="14">
        <f>B31+B26+B30</f>
        <v>33.472031363677303</v>
      </c>
    </row>
    <row r="33" spans="1:5" x14ac:dyDescent="0.3">
      <c r="A33" s="4" t="s">
        <v>12</v>
      </c>
      <c r="B33" s="13">
        <f>IRR(B26:G26)</f>
        <v>0.74901246100044472</v>
      </c>
    </row>
    <row r="34" spans="1:5" x14ac:dyDescent="0.3">
      <c r="A34" s="4" t="s">
        <v>77</v>
      </c>
      <c r="B34" s="14">
        <f>XNPV(B5,B26:G26,B25:G25)</f>
        <v>8.0618730447174194</v>
      </c>
    </row>
    <row r="37" spans="1:5" x14ac:dyDescent="0.3">
      <c r="A37" s="3" t="s">
        <v>78</v>
      </c>
    </row>
    <row r="38" spans="1:5" x14ac:dyDescent="0.3">
      <c r="A38" s="4" t="s">
        <v>79</v>
      </c>
      <c r="B38" s="12">
        <v>0.03</v>
      </c>
      <c r="C38" s="12">
        <v>0.04</v>
      </c>
      <c r="D38" s="12">
        <v>0.05</v>
      </c>
      <c r="E38" s="12">
        <v>0.06</v>
      </c>
    </row>
    <row r="39" spans="1:5" x14ac:dyDescent="0.3">
      <c r="A39" s="12">
        <v>0.14000000000000001</v>
      </c>
      <c r="B39" s="14">
        <f t="shared" ref="B39:E43" si="0">NPV($A39,$C$26:$G$26)+$B$26+($G$26*(1+B$38)/($A39-B$38))/(1+$A39)^5</f>
        <v>47.603755055872497</v>
      </c>
      <c r="C39" s="14">
        <f t="shared" si="0"/>
        <v>51.815383545245936</v>
      </c>
      <c r="D39" s="14">
        <f t="shared" si="0"/>
        <v>56.962929476702364</v>
      </c>
      <c r="E39" s="14">
        <f t="shared" si="0"/>
        <v>63.397361891022889</v>
      </c>
    </row>
    <row r="40" spans="1:5" x14ac:dyDescent="0.3">
      <c r="A40" s="12">
        <v>0.16</v>
      </c>
      <c r="B40" s="14">
        <f t="shared" si="0"/>
        <v>38.292235216951639</v>
      </c>
      <c r="C40" s="14">
        <f t="shared" si="0"/>
        <v>41.062399912128292</v>
      </c>
      <c r="D40" s="14">
        <f t="shared" si="0"/>
        <v>44.336230915518861</v>
      </c>
      <c r="E40" s="14">
        <f t="shared" si="0"/>
        <v>48.264828119587555</v>
      </c>
    </row>
    <row r="41" spans="1:5" x14ac:dyDescent="0.3">
      <c r="A41" s="12">
        <v>0.18</v>
      </c>
      <c r="B41" s="14">
        <f t="shared" si="0"/>
        <v>31.550202014861163</v>
      </c>
      <c r="C41" s="14">
        <f t="shared" si="0"/>
        <v>33.472031363677303</v>
      </c>
      <c r="D41" s="14">
        <f t="shared" si="0"/>
        <v>35.689526766157456</v>
      </c>
      <c r="E41" s="14">
        <f t="shared" si="0"/>
        <v>38.276604735717633</v>
      </c>
    </row>
    <row r="42" spans="1:5" x14ac:dyDescent="0.3">
      <c r="A42" s="12">
        <v>0.2</v>
      </c>
      <c r="B42" s="14">
        <f t="shared" si="0"/>
        <v>26.464331801470586</v>
      </c>
      <c r="C42" s="14">
        <f t="shared" si="0"/>
        <v>27.851625000000002</v>
      </c>
      <c r="D42" s="14">
        <f t="shared" si="0"/>
        <v>29.423890624999999</v>
      </c>
      <c r="E42" s="14">
        <f t="shared" si="0"/>
        <v>31.220765624999999</v>
      </c>
    </row>
    <row r="43" spans="1:5" x14ac:dyDescent="0.3">
      <c r="A43" s="12">
        <v>0.22</v>
      </c>
      <c r="B43" s="14">
        <f t="shared" si="0"/>
        <v>22.506444222329065</v>
      </c>
      <c r="C43" s="14">
        <f t="shared" si="0"/>
        <v>23.539197819980743</v>
      </c>
      <c r="D43" s="14">
        <f t="shared" si="0"/>
        <v>24.693451840885565</v>
      </c>
      <c r="E43" s="14">
        <f t="shared" si="0"/>
        <v>25.991987614403492</v>
      </c>
    </row>
    <row r="45" spans="1:5" x14ac:dyDescent="0.3">
      <c r="A45" s="3" t="s">
        <v>80</v>
      </c>
      <c r="B45" s="3" t="s">
        <v>3</v>
      </c>
    </row>
    <row r="46" spans="1:5" x14ac:dyDescent="0.3">
      <c r="A46" s="4" t="s">
        <v>81</v>
      </c>
      <c r="B46" s="20">
        <f>IFERROR(INDEX($B$25:$G$25,COUNTIF($B$27:$G$27,"&lt;0")+1),"beyond Y5")</f>
        <v>46753</v>
      </c>
    </row>
    <row r="47" spans="1:5" x14ac:dyDescent="0.3">
      <c r="A47" s="2" t="s">
        <v>82</v>
      </c>
    </row>
  </sheetData>
  <conditionalFormatting sqref="B39:E4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0:G20">
    <cfRule type="colorScale" priority="2">
      <colorScale>
        <cfvo type="num" val="-1"/>
        <cfvo type="num" val="0"/>
        <cfvo type="num" val="0.4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zoomScaleNormal="100" workbookViewId="0"/>
  </sheetViews>
  <sheetFormatPr defaultColWidth="8.6640625" defaultRowHeight="14.4" x14ac:dyDescent="0.3"/>
  <cols>
    <col min="1" max="1" width="26" customWidth="1"/>
    <col min="2" max="8" width="14" customWidth="1"/>
  </cols>
  <sheetData>
    <row r="1" spans="1:6" ht="17.399999999999999" x14ac:dyDescent="0.3">
      <c r="A1" s="1" t="s">
        <v>83</v>
      </c>
    </row>
    <row r="2" spans="1:6" x14ac:dyDescent="0.3">
      <c r="A2" s="2" t="s">
        <v>84</v>
      </c>
    </row>
    <row r="4" spans="1:6" x14ac:dyDescent="0.3">
      <c r="A4" s="3" t="s">
        <v>85</v>
      </c>
      <c r="B4" s="3" t="s">
        <v>86</v>
      </c>
      <c r="C4" s="3" t="s">
        <v>87</v>
      </c>
      <c r="D4" s="3" t="s">
        <v>88</v>
      </c>
    </row>
    <row r="5" spans="1:6" x14ac:dyDescent="0.3">
      <c r="A5" s="4" t="s">
        <v>89</v>
      </c>
      <c r="B5" s="12">
        <v>1.4999999999999999E-2</v>
      </c>
      <c r="C5" s="12">
        <v>2.5000000000000001E-2</v>
      </c>
      <c r="D5" s="12">
        <v>0.04</v>
      </c>
    </row>
    <row r="6" spans="1:6" x14ac:dyDescent="0.3">
      <c r="A6" s="4" t="s">
        <v>90</v>
      </c>
      <c r="B6" s="12">
        <v>0.4</v>
      </c>
      <c r="C6" s="12">
        <v>0.7</v>
      </c>
      <c r="D6" s="12">
        <v>1</v>
      </c>
    </row>
    <row r="7" spans="1:6" x14ac:dyDescent="0.3">
      <c r="A7" s="4" t="s">
        <v>91</v>
      </c>
      <c r="B7" s="17">
        <f>SOM_value</f>
        <v>45.36</v>
      </c>
    </row>
    <row r="8" spans="1:6" x14ac:dyDescent="0.3">
      <c r="A8" s="4" t="s">
        <v>92</v>
      </c>
      <c r="B8" s="14">
        <f>$B$7*(B5/$C$5)*(B6/$C$6)</f>
        <v>15.552000000000001</v>
      </c>
      <c r="C8" s="14">
        <f>$B$7*(C5/$C$5)*(C6/$C$6)</f>
        <v>45.36</v>
      </c>
      <c r="D8" s="14">
        <f>$B$7*(D5/$C$5)*(D6/$C$6)</f>
        <v>103.67999999999999</v>
      </c>
    </row>
    <row r="9" spans="1:6" x14ac:dyDescent="0.3">
      <c r="A9" s="2" t="s">
        <v>93</v>
      </c>
    </row>
    <row r="12" spans="1:6" x14ac:dyDescent="0.3">
      <c r="A12" s="3" t="s">
        <v>94</v>
      </c>
    </row>
    <row r="13" spans="1:6" x14ac:dyDescent="0.3">
      <c r="A13" s="4" t="s">
        <v>95</v>
      </c>
      <c r="B13" s="12">
        <v>0.3</v>
      </c>
      <c r="C13" s="12">
        <v>0.5</v>
      </c>
      <c r="D13" s="12">
        <v>0.7</v>
      </c>
      <c r="E13" s="12">
        <v>0.85</v>
      </c>
      <c r="F13" s="12">
        <v>1</v>
      </c>
    </row>
    <row r="14" spans="1:6" x14ac:dyDescent="0.3">
      <c r="A14" s="12">
        <v>0.01</v>
      </c>
      <c r="B14" s="14">
        <f t="shared" ref="B14:F18" si="0">$B$7*($A14/$C$5)*(B$13/$C$6)</f>
        <v>7.7759999999999998</v>
      </c>
      <c r="C14" s="14">
        <f t="shared" si="0"/>
        <v>12.959999999999999</v>
      </c>
      <c r="D14" s="14">
        <f t="shared" si="0"/>
        <v>18.143999999999998</v>
      </c>
      <c r="E14" s="14">
        <f t="shared" si="0"/>
        <v>22.032</v>
      </c>
      <c r="F14" s="14">
        <f t="shared" si="0"/>
        <v>25.919999999999998</v>
      </c>
    </row>
    <row r="15" spans="1:6" x14ac:dyDescent="0.3">
      <c r="A15" s="12">
        <v>0.02</v>
      </c>
      <c r="B15" s="14">
        <f t="shared" si="0"/>
        <v>15.552</v>
      </c>
      <c r="C15" s="14">
        <f t="shared" si="0"/>
        <v>25.919999999999998</v>
      </c>
      <c r="D15" s="14">
        <f t="shared" si="0"/>
        <v>36.287999999999997</v>
      </c>
      <c r="E15" s="14">
        <f t="shared" si="0"/>
        <v>44.064</v>
      </c>
      <c r="F15" s="14">
        <f t="shared" si="0"/>
        <v>51.839999999999996</v>
      </c>
    </row>
    <row r="16" spans="1:6" x14ac:dyDescent="0.3">
      <c r="A16" s="12">
        <v>2.5000000000000001E-2</v>
      </c>
      <c r="B16" s="14">
        <f t="shared" si="0"/>
        <v>19.440000000000001</v>
      </c>
      <c r="C16" s="14">
        <f t="shared" si="0"/>
        <v>32.4</v>
      </c>
      <c r="D16" s="14">
        <f t="shared" si="0"/>
        <v>45.36</v>
      </c>
      <c r="E16" s="14">
        <f t="shared" si="0"/>
        <v>55.080000000000005</v>
      </c>
      <c r="F16" s="14">
        <f t="shared" si="0"/>
        <v>64.8</v>
      </c>
    </row>
    <row r="17" spans="1:6" x14ac:dyDescent="0.3">
      <c r="A17" s="12">
        <v>3.5000000000000003E-2</v>
      </c>
      <c r="B17" s="14">
        <f t="shared" si="0"/>
        <v>27.216000000000005</v>
      </c>
      <c r="C17" s="14">
        <f t="shared" si="0"/>
        <v>45.360000000000007</v>
      </c>
      <c r="D17" s="14">
        <f t="shared" si="0"/>
        <v>63.504000000000005</v>
      </c>
      <c r="E17" s="14">
        <f t="shared" si="0"/>
        <v>77.112000000000009</v>
      </c>
      <c r="F17" s="14">
        <f t="shared" si="0"/>
        <v>90.720000000000013</v>
      </c>
    </row>
    <row r="18" spans="1:6" x14ac:dyDescent="0.3">
      <c r="A18" s="12">
        <v>4.4999999999999998E-2</v>
      </c>
      <c r="B18" s="14">
        <f t="shared" si="0"/>
        <v>34.992000000000004</v>
      </c>
      <c r="C18" s="14">
        <f t="shared" si="0"/>
        <v>58.32</v>
      </c>
      <c r="D18" s="14">
        <f t="shared" si="0"/>
        <v>81.647999999999996</v>
      </c>
      <c r="E18" s="14">
        <f t="shared" si="0"/>
        <v>99.144000000000005</v>
      </c>
      <c r="F18" s="14">
        <f t="shared" si="0"/>
        <v>116.64</v>
      </c>
    </row>
  </sheetData>
  <conditionalFormatting sqref="B14:F1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0"/>
  <sheetViews>
    <sheetView zoomScale="63" zoomScaleNormal="100" workbookViewId="0">
      <selection activeCell="H13" sqref="H13:J37"/>
    </sheetView>
  </sheetViews>
  <sheetFormatPr defaultColWidth="8.6640625" defaultRowHeight="14.4" x14ac:dyDescent="0.3"/>
  <cols>
    <col min="1" max="1" width="16" customWidth="1"/>
    <col min="2" max="2" width="12" customWidth="1"/>
    <col min="3" max="6" width="10" customWidth="1"/>
    <col min="7" max="7" width="4" customWidth="1"/>
    <col min="8" max="8" width="14" customWidth="1"/>
    <col min="9" max="9" width="10" customWidth="1"/>
    <col min="10" max="10" width="12" customWidth="1"/>
  </cols>
  <sheetData>
    <row r="1" spans="1:10" ht="17.399999999999999" x14ac:dyDescent="0.3">
      <c r="A1" s="1" t="s">
        <v>96</v>
      </c>
    </row>
    <row r="2" spans="1:10" x14ac:dyDescent="0.3">
      <c r="A2" s="2" t="s">
        <v>97</v>
      </c>
    </row>
    <row r="3" spans="1:10" x14ac:dyDescent="0.3">
      <c r="A3" s="2" t="s">
        <v>98</v>
      </c>
    </row>
    <row r="5" spans="1:10" x14ac:dyDescent="0.3">
      <c r="A5" s="3" t="s">
        <v>99</v>
      </c>
      <c r="B5" s="3" t="s">
        <v>3</v>
      </c>
      <c r="H5" s="3" t="s">
        <v>100</v>
      </c>
    </row>
    <row r="6" spans="1:10" x14ac:dyDescent="0.3">
      <c r="A6" s="4" t="s">
        <v>101</v>
      </c>
      <c r="B6" s="12">
        <v>0.45</v>
      </c>
      <c r="H6" s="4" t="s">
        <v>102</v>
      </c>
    </row>
    <row r="7" spans="1:10" x14ac:dyDescent="0.3">
      <c r="A7" s="4" t="s">
        <v>103</v>
      </c>
      <c r="B7" s="12">
        <v>0.32</v>
      </c>
      <c r="H7" s="4" t="s">
        <v>104</v>
      </c>
    </row>
    <row r="8" spans="1:10" x14ac:dyDescent="0.3">
      <c r="A8" s="4" t="s">
        <v>105</v>
      </c>
      <c r="B8" s="12">
        <v>0.24</v>
      </c>
      <c r="H8" s="4" t="s">
        <v>106</v>
      </c>
    </row>
    <row r="9" spans="1:10" x14ac:dyDescent="0.3">
      <c r="A9" s="4" t="s">
        <v>107</v>
      </c>
      <c r="B9" s="12">
        <v>0.18</v>
      </c>
      <c r="H9" s="4" t="s">
        <v>108</v>
      </c>
    </row>
    <row r="10" spans="1:10" x14ac:dyDescent="0.3">
      <c r="A10" s="4" t="s">
        <v>109</v>
      </c>
      <c r="B10" s="12">
        <v>0.01</v>
      </c>
    </row>
    <row r="12" spans="1:10" x14ac:dyDescent="0.3">
      <c r="A12" s="3" t="s">
        <v>110</v>
      </c>
      <c r="B12" s="18" t="s">
        <v>111</v>
      </c>
      <c r="C12" s="18" t="s">
        <v>112</v>
      </c>
      <c r="D12" s="18" t="s">
        <v>113</v>
      </c>
      <c r="E12" s="18" t="s">
        <v>114</v>
      </c>
      <c r="F12" s="18" t="s">
        <v>115</v>
      </c>
      <c r="H12" s="3" t="s">
        <v>116</v>
      </c>
    </row>
    <row r="13" spans="1:10" x14ac:dyDescent="0.3">
      <c r="A13" s="4" t="s">
        <v>117</v>
      </c>
      <c r="B13" s="15">
        <v>420</v>
      </c>
      <c r="C13" s="16">
        <f>$B13*$B$6*(1+$B$10*0)</f>
        <v>189</v>
      </c>
      <c r="D13" s="16">
        <f>$B13*$B$7*(1+$B$10*0)</f>
        <v>134.4</v>
      </c>
      <c r="E13" s="16">
        <f>$B13*$B$8*(1+$B$10*0)</f>
        <v>100.8</v>
      </c>
      <c r="F13" s="16">
        <f>$B13*$B$9*(1+$B$10*0)</f>
        <v>75.599999999999994</v>
      </c>
      <c r="H13" s="18" t="s">
        <v>118</v>
      </c>
      <c r="I13" s="18" t="s">
        <v>119</v>
      </c>
      <c r="J13" s="18" t="s">
        <v>120</v>
      </c>
    </row>
    <row r="14" spans="1:10" x14ac:dyDescent="0.3">
      <c r="A14" s="4" t="s">
        <v>121</v>
      </c>
      <c r="B14" s="15">
        <v>510</v>
      </c>
      <c r="C14" s="16">
        <f>$B14*$B$6*(1+$B$10*1)</f>
        <v>231.79500000000002</v>
      </c>
      <c r="D14" s="16">
        <f>$B14*$B$7*(1+$B$10*1)</f>
        <v>164.83200000000002</v>
      </c>
      <c r="E14" s="16">
        <f>$B14*$B$8*(1+$B$10*1)</f>
        <v>123.624</v>
      </c>
      <c r="F14" s="16">
        <f>$B14*$B$9*(1+$B$10*1)</f>
        <v>92.718000000000004</v>
      </c>
      <c r="H14" s="4" t="str">
        <f>A13</f>
        <v>2026-W18</v>
      </c>
      <c r="I14" s="4" t="s">
        <v>112</v>
      </c>
      <c r="J14" s="16">
        <f>C13</f>
        <v>189</v>
      </c>
    </row>
    <row r="15" spans="1:10" x14ac:dyDescent="0.3">
      <c r="A15" s="4" t="s">
        <v>122</v>
      </c>
      <c r="B15" s="15">
        <v>640</v>
      </c>
      <c r="C15" s="16">
        <f>$B15*$B$6*(1+$B$10*2)</f>
        <v>293.76</v>
      </c>
      <c r="D15" s="16">
        <f>$B15*$B$7*(1+$B$10*2)</f>
        <v>208.89600000000002</v>
      </c>
      <c r="E15" s="16">
        <f>$B15*$B$8*(1+$B$10*2)</f>
        <v>156.672</v>
      </c>
      <c r="F15" s="16">
        <f>$B15*$B$9*(1+$B$10*2)</f>
        <v>117.50399999999999</v>
      </c>
      <c r="H15" s="4" t="str">
        <f>A13</f>
        <v>2026-W18</v>
      </c>
      <c r="I15" s="4" t="s">
        <v>113</v>
      </c>
      <c r="J15" s="16">
        <f>D13</f>
        <v>134.4</v>
      </c>
    </row>
    <row r="16" spans="1:10" x14ac:dyDescent="0.3">
      <c r="A16" s="4" t="s">
        <v>123</v>
      </c>
      <c r="B16" s="15">
        <v>700</v>
      </c>
      <c r="C16" s="16">
        <f>$B16*$B$6*(1+$B$10*3)</f>
        <v>324.45</v>
      </c>
      <c r="D16" s="16">
        <f>$B16*$B$7*(1+$B$10*3)</f>
        <v>230.72</v>
      </c>
      <c r="E16" s="16">
        <f>$B16*$B$8*(1+$B$10*3)</f>
        <v>173.04</v>
      </c>
      <c r="F16" s="16">
        <f>$B16*$B$9*(1+$B$10*3)</f>
        <v>129.78</v>
      </c>
      <c r="H16" s="4" t="str">
        <f>A13</f>
        <v>2026-W18</v>
      </c>
      <c r="I16" s="4" t="s">
        <v>114</v>
      </c>
      <c r="J16" s="16">
        <f>E13</f>
        <v>100.8</v>
      </c>
    </row>
    <row r="17" spans="1:10" x14ac:dyDescent="0.3">
      <c r="A17" s="4" t="s">
        <v>124</v>
      </c>
      <c r="B17" s="15">
        <v>820</v>
      </c>
      <c r="C17" s="16">
        <f>$B17*$B$6*(1+$B$10*4)</f>
        <v>383.76</v>
      </c>
      <c r="D17" s="16">
        <f>$B17*$B$7*(1+$B$10*4)</f>
        <v>272.89599999999996</v>
      </c>
      <c r="E17" s="16">
        <f>$B17*$B$8*(1+$B$10*4)</f>
        <v>204.672</v>
      </c>
      <c r="F17" s="16">
        <f>$B17*$B$9*(1+$B$10*4)</f>
        <v>153.50399999999999</v>
      </c>
      <c r="H17" s="4" t="str">
        <f>A13</f>
        <v>2026-W18</v>
      </c>
      <c r="I17" s="4" t="s">
        <v>115</v>
      </c>
      <c r="J17" s="16">
        <f>F13</f>
        <v>75.599999999999994</v>
      </c>
    </row>
    <row r="18" spans="1:10" x14ac:dyDescent="0.3">
      <c r="A18" s="4" t="s">
        <v>125</v>
      </c>
      <c r="B18" s="15">
        <v>910</v>
      </c>
      <c r="C18" s="16">
        <f>$B18*$B$6*(1+$B$10*5)</f>
        <v>429.97500000000002</v>
      </c>
      <c r="D18" s="16">
        <f>$B18*$B$7*(1+$B$10*5)</f>
        <v>305.76</v>
      </c>
      <c r="E18" s="16">
        <f>$B18*$B$8*(1+$B$10*5)</f>
        <v>229.32000000000002</v>
      </c>
      <c r="F18" s="16">
        <f>$B18*$B$9*(1+$B$10*5)</f>
        <v>171.98999999999998</v>
      </c>
      <c r="H18" s="4" t="str">
        <f>A14</f>
        <v>2026-W19</v>
      </c>
      <c r="I18" s="4" t="s">
        <v>112</v>
      </c>
      <c r="J18" s="16">
        <f>C14</f>
        <v>231.79500000000002</v>
      </c>
    </row>
    <row r="19" spans="1:10" x14ac:dyDescent="0.3">
      <c r="H19" s="4" t="str">
        <f>A14</f>
        <v>2026-W19</v>
      </c>
      <c r="I19" s="4" t="s">
        <v>113</v>
      </c>
      <c r="J19" s="16">
        <f>D14</f>
        <v>164.83200000000002</v>
      </c>
    </row>
    <row r="20" spans="1:10" x14ac:dyDescent="0.3">
      <c r="H20" s="4" t="str">
        <f>A14</f>
        <v>2026-W19</v>
      </c>
      <c r="I20" s="4" t="s">
        <v>114</v>
      </c>
      <c r="J20" s="16">
        <f>E14</f>
        <v>123.624</v>
      </c>
    </row>
    <row r="21" spans="1:10" x14ac:dyDescent="0.3">
      <c r="H21" s="4" t="str">
        <f>A14</f>
        <v>2026-W19</v>
      </c>
      <c r="I21" s="4" t="s">
        <v>115</v>
      </c>
      <c r="J21" s="16">
        <f>F14</f>
        <v>92.718000000000004</v>
      </c>
    </row>
    <row r="22" spans="1:10" x14ac:dyDescent="0.3">
      <c r="H22" s="4" t="str">
        <f>A15</f>
        <v>2026-W20</v>
      </c>
      <c r="I22" s="4" t="s">
        <v>112</v>
      </c>
      <c r="J22" s="16">
        <f>C15</f>
        <v>293.76</v>
      </c>
    </row>
    <row r="23" spans="1:10" x14ac:dyDescent="0.3">
      <c r="H23" s="4" t="str">
        <f>A15</f>
        <v>2026-W20</v>
      </c>
      <c r="I23" s="4" t="s">
        <v>113</v>
      </c>
      <c r="J23" s="16">
        <f>D15</f>
        <v>208.89600000000002</v>
      </c>
    </row>
    <row r="24" spans="1:10" x14ac:dyDescent="0.3">
      <c r="H24" s="4" t="str">
        <f>A15</f>
        <v>2026-W20</v>
      </c>
      <c r="I24" s="4" t="s">
        <v>114</v>
      </c>
      <c r="J24" s="16">
        <f>E15</f>
        <v>156.672</v>
      </c>
    </row>
    <row r="25" spans="1:10" x14ac:dyDescent="0.3">
      <c r="H25" s="4" t="str">
        <f>A15</f>
        <v>2026-W20</v>
      </c>
      <c r="I25" s="4" t="s">
        <v>115</v>
      </c>
      <c r="J25" s="16">
        <f>F15</f>
        <v>117.50399999999999</v>
      </c>
    </row>
    <row r="26" spans="1:10" x14ac:dyDescent="0.3">
      <c r="H26" s="4" t="str">
        <f>A16</f>
        <v>2026-W21</v>
      </c>
      <c r="I26" s="4" t="s">
        <v>112</v>
      </c>
      <c r="J26" s="16">
        <f>C16</f>
        <v>324.45</v>
      </c>
    </row>
    <row r="27" spans="1:10" x14ac:dyDescent="0.3">
      <c r="H27" s="4" t="str">
        <f>A16</f>
        <v>2026-W21</v>
      </c>
      <c r="I27" s="4" t="s">
        <v>113</v>
      </c>
      <c r="J27" s="16">
        <f>D16</f>
        <v>230.72</v>
      </c>
    </row>
    <row r="28" spans="1:10" x14ac:dyDescent="0.3">
      <c r="H28" s="4" t="str">
        <f>A16</f>
        <v>2026-W21</v>
      </c>
      <c r="I28" s="4" t="s">
        <v>114</v>
      </c>
      <c r="J28" s="16">
        <f>E16</f>
        <v>173.04</v>
      </c>
    </row>
    <row r="29" spans="1:10" x14ac:dyDescent="0.3">
      <c r="H29" s="4" t="str">
        <f>A16</f>
        <v>2026-W21</v>
      </c>
      <c r="I29" s="4" t="s">
        <v>115</v>
      </c>
      <c r="J29" s="16">
        <f>F16</f>
        <v>129.78</v>
      </c>
    </row>
    <row r="30" spans="1:10" x14ac:dyDescent="0.3">
      <c r="H30" s="4" t="str">
        <f>A17</f>
        <v>2026-W22</v>
      </c>
      <c r="I30" s="4" t="s">
        <v>112</v>
      </c>
      <c r="J30" s="16">
        <f>C17</f>
        <v>383.76</v>
      </c>
    </row>
    <row r="31" spans="1:10" x14ac:dyDescent="0.3">
      <c r="H31" s="4" t="str">
        <f>A17</f>
        <v>2026-W22</v>
      </c>
      <c r="I31" s="4" t="s">
        <v>113</v>
      </c>
      <c r="J31" s="16">
        <f>D17</f>
        <v>272.89599999999996</v>
      </c>
    </row>
    <row r="32" spans="1:10" x14ac:dyDescent="0.3">
      <c r="H32" s="4" t="str">
        <f>A17</f>
        <v>2026-W22</v>
      </c>
      <c r="I32" s="4" t="s">
        <v>114</v>
      </c>
      <c r="J32" s="16">
        <f>E17</f>
        <v>204.672</v>
      </c>
    </row>
    <row r="33" spans="8:10" x14ac:dyDescent="0.3">
      <c r="H33" s="4" t="str">
        <f>A17</f>
        <v>2026-W22</v>
      </c>
      <c r="I33" s="4" t="s">
        <v>115</v>
      </c>
      <c r="J33" s="16">
        <f>F17</f>
        <v>153.50399999999999</v>
      </c>
    </row>
    <row r="34" spans="8:10" x14ac:dyDescent="0.3">
      <c r="H34" s="4" t="str">
        <f>A18</f>
        <v>2026-W23</v>
      </c>
      <c r="I34" s="4" t="s">
        <v>112</v>
      </c>
      <c r="J34" s="16">
        <f>C18</f>
        <v>429.97500000000002</v>
      </c>
    </row>
    <row r="35" spans="8:10" x14ac:dyDescent="0.3">
      <c r="H35" s="4" t="str">
        <f>A18</f>
        <v>2026-W23</v>
      </c>
      <c r="I35" s="4" t="s">
        <v>113</v>
      </c>
      <c r="J35" s="16">
        <f>D18</f>
        <v>305.76</v>
      </c>
    </row>
    <row r="36" spans="8:10" x14ac:dyDescent="0.3">
      <c r="H36" s="4" t="str">
        <f>A18</f>
        <v>2026-W23</v>
      </c>
      <c r="I36" s="4" t="s">
        <v>114</v>
      </c>
      <c r="J36" s="16">
        <f>E18</f>
        <v>229.32000000000002</v>
      </c>
    </row>
    <row r="37" spans="8:10" x14ac:dyDescent="0.3">
      <c r="H37" s="4" t="str">
        <f>A18</f>
        <v>2026-W23</v>
      </c>
      <c r="I37" s="4" t="s">
        <v>115</v>
      </c>
      <c r="J37" s="16">
        <f>F18</f>
        <v>171.98999999999998</v>
      </c>
    </row>
    <row r="40" spans="8:10" x14ac:dyDescent="0.3">
      <c r="H40" s="2" t="s">
        <v>126</v>
      </c>
    </row>
  </sheetData>
  <conditionalFormatting sqref="C13:F18">
    <cfRule type="colorScale" priority="2">
      <colorScale>
        <cfvo type="min"/>
        <cfvo type="max"/>
        <color rgb="FFFFFFFF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B23AE-D5B6-48C3-9AAB-D58BB4A45428}">
  <dimension ref="A1:F11"/>
  <sheetViews>
    <sheetView tabSelected="1" workbookViewId="0">
      <selection activeCell="F23" sqref="F23"/>
    </sheetView>
  </sheetViews>
  <sheetFormatPr defaultRowHeight="14.4" x14ac:dyDescent="0.3"/>
  <cols>
    <col min="1" max="1" width="14.5546875" bestFit="1" customWidth="1"/>
    <col min="2" max="2" width="15.5546875" bestFit="1" customWidth="1"/>
    <col min="3" max="3" width="5.5546875" bestFit="1" customWidth="1"/>
    <col min="4" max="5" width="4" bestFit="1" customWidth="1"/>
    <col min="6" max="6" width="10.77734375" bestFit="1" customWidth="1"/>
  </cols>
  <sheetData>
    <row r="1" spans="1:6" x14ac:dyDescent="0.3">
      <c r="A1" s="28" t="s">
        <v>372</v>
      </c>
    </row>
    <row r="3" spans="1:6" x14ac:dyDescent="0.3">
      <c r="A3" s="24" t="s">
        <v>371</v>
      </c>
      <c r="B3" s="24" t="s">
        <v>366</v>
      </c>
    </row>
    <row r="4" spans="1:6" x14ac:dyDescent="0.3">
      <c r="A4" s="24" t="s">
        <v>364</v>
      </c>
      <c r="B4" t="s">
        <v>112</v>
      </c>
      <c r="C4" t="s">
        <v>113</v>
      </c>
      <c r="D4" t="s">
        <v>114</v>
      </c>
      <c r="E4" t="s">
        <v>115</v>
      </c>
      <c r="F4" t="s">
        <v>365</v>
      </c>
    </row>
    <row r="5" spans="1:6" x14ac:dyDescent="0.3">
      <c r="A5" s="25" t="s">
        <v>117</v>
      </c>
      <c r="B5" s="27">
        <v>189</v>
      </c>
      <c r="C5" s="27">
        <v>134.4</v>
      </c>
      <c r="D5" s="27">
        <v>100.8</v>
      </c>
      <c r="E5" s="27">
        <v>75.599999999999994</v>
      </c>
      <c r="F5" s="27">
        <v>499.79999999999995</v>
      </c>
    </row>
    <row r="6" spans="1:6" x14ac:dyDescent="0.3">
      <c r="A6" s="25" t="s">
        <v>121</v>
      </c>
      <c r="B6" s="27">
        <v>231.79500000000002</v>
      </c>
      <c r="C6" s="27">
        <v>164.83200000000002</v>
      </c>
      <c r="D6" s="27">
        <v>123.624</v>
      </c>
      <c r="E6" s="27">
        <v>92.718000000000004</v>
      </c>
      <c r="F6" s="27">
        <v>612.96900000000005</v>
      </c>
    </row>
    <row r="7" spans="1:6" x14ac:dyDescent="0.3">
      <c r="A7" s="25" t="s">
        <v>122</v>
      </c>
      <c r="B7" s="27">
        <v>293.76</v>
      </c>
      <c r="C7" s="27">
        <v>208.89600000000002</v>
      </c>
      <c r="D7" s="27">
        <v>156.672</v>
      </c>
      <c r="E7" s="27">
        <v>117.50399999999999</v>
      </c>
      <c r="F7" s="27">
        <v>776.83199999999999</v>
      </c>
    </row>
    <row r="8" spans="1:6" x14ac:dyDescent="0.3">
      <c r="A8" s="25" t="s">
        <v>123</v>
      </c>
      <c r="B8" s="27">
        <v>324.45</v>
      </c>
      <c r="C8" s="27">
        <v>230.72</v>
      </c>
      <c r="D8" s="27">
        <v>173.04</v>
      </c>
      <c r="E8" s="27">
        <v>129.78</v>
      </c>
      <c r="F8" s="27">
        <v>857.9899999999999</v>
      </c>
    </row>
    <row r="9" spans="1:6" x14ac:dyDescent="0.3">
      <c r="A9" s="25" t="s">
        <v>124</v>
      </c>
      <c r="B9" s="27">
        <v>383.76</v>
      </c>
      <c r="C9" s="27">
        <v>272.89599999999996</v>
      </c>
      <c r="D9" s="27">
        <v>204.672</v>
      </c>
      <c r="E9" s="27">
        <v>153.50399999999999</v>
      </c>
      <c r="F9" s="27">
        <v>1014.832</v>
      </c>
    </row>
    <row r="10" spans="1:6" x14ac:dyDescent="0.3">
      <c r="A10" s="25" t="s">
        <v>125</v>
      </c>
      <c r="B10" s="27">
        <v>429.97500000000002</v>
      </c>
      <c r="C10" s="27">
        <v>305.76</v>
      </c>
      <c r="D10" s="27">
        <v>229.32000000000002</v>
      </c>
      <c r="E10" s="27">
        <v>171.98999999999998</v>
      </c>
      <c r="F10" s="27">
        <v>1137.0450000000001</v>
      </c>
    </row>
    <row r="11" spans="1:6" x14ac:dyDescent="0.3">
      <c r="A11" s="25" t="s">
        <v>365</v>
      </c>
      <c r="B11" s="27">
        <v>1852.7400000000002</v>
      </c>
      <c r="C11" s="27">
        <v>1317.5039999999999</v>
      </c>
      <c r="D11" s="27">
        <v>988.12800000000004</v>
      </c>
      <c r="E11" s="27">
        <v>741.096</v>
      </c>
      <c r="F11" s="27">
        <v>4899.4679999999998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1"/>
  <sheetViews>
    <sheetView zoomScaleNormal="100" workbookViewId="0">
      <selection activeCell="F5" sqref="F5:H13"/>
    </sheetView>
  </sheetViews>
  <sheetFormatPr defaultColWidth="8.6640625" defaultRowHeight="14.4" x14ac:dyDescent="0.3"/>
  <cols>
    <col min="1" max="1" width="24" customWidth="1"/>
    <col min="2" max="4" width="12" customWidth="1"/>
    <col min="5" max="5" width="6" customWidth="1"/>
    <col min="6" max="6" width="18" customWidth="1"/>
    <col min="7" max="8" width="12" customWidth="1"/>
  </cols>
  <sheetData>
    <row r="1" spans="1:8" ht="17.399999999999999" x14ac:dyDescent="0.3">
      <c r="A1" s="1" t="s">
        <v>127</v>
      </c>
    </row>
    <row r="2" spans="1:8" x14ac:dyDescent="0.3">
      <c r="A2" s="2" t="s">
        <v>128</v>
      </c>
    </row>
    <row r="4" spans="1:8" x14ac:dyDescent="0.3">
      <c r="A4" s="3" t="s">
        <v>129</v>
      </c>
      <c r="B4" s="18" t="s">
        <v>130</v>
      </c>
      <c r="C4" s="18" t="s">
        <v>131</v>
      </c>
      <c r="D4" s="18" t="s">
        <v>132</v>
      </c>
      <c r="F4" s="3" t="s">
        <v>116</v>
      </c>
    </row>
    <row r="5" spans="1:8" x14ac:dyDescent="0.3">
      <c r="A5" s="4" t="s">
        <v>133</v>
      </c>
      <c r="B5" s="15">
        <v>2400</v>
      </c>
      <c r="C5" s="15">
        <v>2400</v>
      </c>
      <c r="D5" s="16">
        <f>B5+C5</f>
        <v>4800</v>
      </c>
      <c r="F5" s="18" t="s">
        <v>134</v>
      </c>
      <c r="G5" s="18" t="s">
        <v>135</v>
      </c>
      <c r="H5" s="18" t="s">
        <v>136</v>
      </c>
    </row>
    <row r="6" spans="1:8" x14ac:dyDescent="0.3">
      <c r="A6" s="4" t="s">
        <v>137</v>
      </c>
      <c r="B6" s="15">
        <v>2400</v>
      </c>
      <c r="C6" s="15">
        <v>2400</v>
      </c>
      <c r="D6" s="16">
        <f>B6+C6</f>
        <v>4800</v>
      </c>
      <c r="F6" s="4" t="s">
        <v>130</v>
      </c>
      <c r="G6" s="4" t="s">
        <v>133</v>
      </c>
      <c r="H6" s="16">
        <f>B5</f>
        <v>2400</v>
      </c>
    </row>
    <row r="7" spans="1:8" x14ac:dyDescent="0.3">
      <c r="A7" s="4" t="s">
        <v>138</v>
      </c>
      <c r="B7" s="15">
        <v>2400</v>
      </c>
      <c r="C7" s="15">
        <v>2400</v>
      </c>
      <c r="D7" s="16">
        <f>B7+C7</f>
        <v>4800</v>
      </c>
      <c r="F7" s="4" t="s">
        <v>131</v>
      </c>
      <c r="G7" s="4" t="s">
        <v>133</v>
      </c>
      <c r="H7" s="16">
        <f>C5</f>
        <v>2400</v>
      </c>
    </row>
    <row r="8" spans="1:8" x14ac:dyDescent="0.3">
      <c r="A8" s="4" t="s">
        <v>139</v>
      </c>
      <c r="B8" s="15">
        <v>730</v>
      </c>
      <c r="C8" s="15">
        <v>805</v>
      </c>
      <c r="D8" s="16">
        <f>B8+C8</f>
        <v>1535</v>
      </c>
      <c r="F8" s="4" t="s">
        <v>130</v>
      </c>
      <c r="G8" s="4" t="s">
        <v>137</v>
      </c>
      <c r="H8" s="16">
        <f>B6</f>
        <v>2400</v>
      </c>
    </row>
    <row r="9" spans="1:8" x14ac:dyDescent="0.3">
      <c r="F9" s="4" t="s">
        <v>131</v>
      </c>
      <c r="G9" s="4" t="s">
        <v>137</v>
      </c>
      <c r="H9" s="16">
        <f>C6</f>
        <v>2400</v>
      </c>
    </row>
    <row r="10" spans="1:8" x14ac:dyDescent="0.3">
      <c r="A10" s="4" t="s">
        <v>140</v>
      </c>
      <c r="B10" s="13">
        <f>B8/B7</f>
        <v>0.30416666666666664</v>
      </c>
      <c r="C10" s="13">
        <f>C8/C7</f>
        <v>0.33541666666666664</v>
      </c>
      <c r="D10" s="13">
        <f>D8/D7</f>
        <v>0.31979166666666664</v>
      </c>
      <c r="F10" s="4" t="s">
        <v>130</v>
      </c>
      <c r="G10" s="4" t="s">
        <v>138</v>
      </c>
      <c r="H10" s="16">
        <f>B7</f>
        <v>2400</v>
      </c>
    </row>
    <row r="11" spans="1:8" x14ac:dyDescent="0.3">
      <c r="A11" s="4" t="s">
        <v>141</v>
      </c>
      <c r="C11" s="13">
        <f>C10/B10-1</f>
        <v>0.10273972602739723</v>
      </c>
      <c r="F11" s="4" t="s">
        <v>131</v>
      </c>
      <c r="G11" s="4" t="s">
        <v>138</v>
      </c>
      <c r="H11" s="16">
        <f>C7</f>
        <v>2400</v>
      </c>
    </row>
    <row r="12" spans="1:8" x14ac:dyDescent="0.3">
      <c r="A12" s="4" t="s">
        <v>142</v>
      </c>
      <c r="C12" s="12">
        <v>0.98599999999999999</v>
      </c>
      <c r="F12" s="4" t="s">
        <v>130</v>
      </c>
      <c r="G12" s="4" t="s">
        <v>139</v>
      </c>
      <c r="H12" s="16">
        <f>B8</f>
        <v>730</v>
      </c>
    </row>
    <row r="13" spans="1:8" x14ac:dyDescent="0.3">
      <c r="A13" s="4" t="s">
        <v>143</v>
      </c>
      <c r="C13" s="12">
        <v>1.1599999999999999E-2</v>
      </c>
      <c r="F13" s="4" t="s">
        <v>131</v>
      </c>
      <c r="G13" s="4" t="s">
        <v>139</v>
      </c>
      <c r="H13" s="16">
        <f>C8</f>
        <v>805</v>
      </c>
    </row>
    <row r="14" spans="1:8" x14ac:dyDescent="0.3">
      <c r="A14" s="4" t="s">
        <v>144</v>
      </c>
      <c r="C14" s="12">
        <v>0.19389999999999999</v>
      </c>
    </row>
    <row r="16" spans="1:8" x14ac:dyDescent="0.3">
      <c r="F16" s="2" t="s">
        <v>145</v>
      </c>
    </row>
    <row r="17" spans="1:3" x14ac:dyDescent="0.3">
      <c r="A17" s="3" t="s">
        <v>146</v>
      </c>
      <c r="B17" s="18" t="s">
        <v>130</v>
      </c>
      <c r="C17" s="18" t="s">
        <v>131</v>
      </c>
    </row>
    <row r="18" spans="1:3" x14ac:dyDescent="0.3">
      <c r="A18" s="4" t="s">
        <v>147</v>
      </c>
      <c r="B18" s="15">
        <v>2400</v>
      </c>
      <c r="C18" s="15">
        <v>2400</v>
      </c>
    </row>
    <row r="19" spans="1:3" x14ac:dyDescent="0.3">
      <c r="A19" s="4" t="s">
        <v>148</v>
      </c>
      <c r="B19" s="15">
        <v>1296</v>
      </c>
      <c r="C19" s="15">
        <v>1300</v>
      </c>
    </row>
    <row r="20" spans="1:3" x14ac:dyDescent="0.3">
      <c r="A20" s="4" t="s">
        <v>149</v>
      </c>
      <c r="B20" s="13">
        <f>B19/B18</f>
        <v>0.54</v>
      </c>
      <c r="C20" s="13">
        <f>C19/C18</f>
        <v>0.54166666666666663</v>
      </c>
    </row>
    <row r="21" spans="1:3" x14ac:dyDescent="0.3">
      <c r="A21" s="2" t="s">
        <v>150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29BA3-0CF0-4676-B49E-354B73C74F08}">
  <dimension ref="A1:D9"/>
  <sheetViews>
    <sheetView workbookViewId="0"/>
  </sheetViews>
  <sheetFormatPr defaultRowHeight="14.4" x14ac:dyDescent="0.3"/>
  <cols>
    <col min="1" max="1" width="19.77734375" bestFit="1" customWidth="1"/>
    <col min="2" max="2" width="15.5546875" bestFit="1" customWidth="1"/>
    <col min="3" max="3" width="5.5546875" bestFit="1" customWidth="1"/>
    <col min="4" max="4" width="10.77734375" bestFit="1" customWidth="1"/>
  </cols>
  <sheetData>
    <row r="1" spans="1:4" x14ac:dyDescent="0.3">
      <c r="A1" s="28" t="s">
        <v>369</v>
      </c>
    </row>
    <row r="3" spans="1:4" x14ac:dyDescent="0.3">
      <c r="A3" s="24" t="s">
        <v>368</v>
      </c>
      <c r="B3" s="24" t="s">
        <v>366</v>
      </c>
    </row>
    <row r="4" spans="1:4" x14ac:dyDescent="0.3">
      <c r="A4" s="24" t="s">
        <v>364</v>
      </c>
      <c r="B4" t="s">
        <v>130</v>
      </c>
      <c r="C4" t="s">
        <v>131</v>
      </c>
      <c r="D4" t="s">
        <v>365</v>
      </c>
    </row>
    <row r="5" spans="1:4" x14ac:dyDescent="0.3">
      <c r="A5" s="25" t="s">
        <v>139</v>
      </c>
      <c r="B5" s="27">
        <v>730</v>
      </c>
      <c r="C5" s="27">
        <v>805</v>
      </c>
      <c r="D5" s="27">
        <v>1535</v>
      </c>
    </row>
    <row r="6" spans="1:4" x14ac:dyDescent="0.3">
      <c r="A6" s="25" t="s">
        <v>137</v>
      </c>
      <c r="B6" s="27">
        <v>2400</v>
      </c>
      <c r="C6" s="27">
        <v>2400</v>
      </c>
      <c r="D6" s="27">
        <v>4800</v>
      </c>
    </row>
    <row r="7" spans="1:4" x14ac:dyDescent="0.3">
      <c r="A7" s="25" t="s">
        <v>138</v>
      </c>
      <c r="B7" s="27">
        <v>2400</v>
      </c>
      <c r="C7" s="27">
        <v>2400</v>
      </c>
      <c r="D7" s="27">
        <v>4800</v>
      </c>
    </row>
    <row r="8" spans="1:4" x14ac:dyDescent="0.3">
      <c r="A8" s="25" t="s">
        <v>133</v>
      </c>
      <c r="B8" s="27">
        <v>2400</v>
      </c>
      <c r="C8" s="27">
        <v>2400</v>
      </c>
      <c r="D8" s="27">
        <v>4800</v>
      </c>
    </row>
    <row r="9" spans="1:4" x14ac:dyDescent="0.3">
      <c r="A9" s="25" t="s">
        <v>365</v>
      </c>
      <c r="B9" s="27">
        <v>7930</v>
      </c>
      <c r="C9" s="27">
        <v>8005</v>
      </c>
      <c r="D9" s="27">
        <v>15935</v>
      </c>
    </row>
  </sheetData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96"/>
  <sheetViews>
    <sheetView topLeftCell="A5" zoomScaleNormal="100" workbookViewId="0">
      <selection activeCell="A4" sqref="A4"/>
    </sheetView>
  </sheetViews>
  <sheetFormatPr defaultColWidth="8.6640625" defaultRowHeight="14.4" x14ac:dyDescent="0.3"/>
  <cols>
    <col min="1" max="2" width="16" customWidth="1"/>
    <col min="3" max="3" width="8" customWidth="1"/>
    <col min="4" max="4" width="4" customWidth="1"/>
    <col min="5" max="5" width="14" customWidth="1"/>
  </cols>
  <sheetData>
    <row r="1" spans="1:13" ht="17.399999999999999" x14ac:dyDescent="0.3">
      <c r="A1" s="1" t="s">
        <v>151</v>
      </c>
    </row>
    <row r="2" spans="1:13" x14ac:dyDescent="0.3">
      <c r="A2" s="2" t="s">
        <v>152</v>
      </c>
    </row>
    <row r="4" spans="1:13" x14ac:dyDescent="0.3">
      <c r="A4" s="18" t="s">
        <v>153</v>
      </c>
      <c r="B4" s="18" t="s">
        <v>154</v>
      </c>
      <c r="C4" s="18" t="s">
        <v>155</v>
      </c>
      <c r="E4" s="3" t="s">
        <v>156</v>
      </c>
    </row>
    <row r="5" spans="1:13" x14ac:dyDescent="0.3">
      <c r="A5" s="4" t="s">
        <v>157</v>
      </c>
      <c r="B5" s="4" t="s">
        <v>158</v>
      </c>
      <c r="C5" s="4">
        <v>136</v>
      </c>
      <c r="E5" s="21" t="s">
        <v>153</v>
      </c>
      <c r="F5" s="3" t="s">
        <v>158</v>
      </c>
      <c r="G5" s="3" t="s">
        <v>159</v>
      </c>
      <c r="H5" s="3" t="s">
        <v>160</v>
      </c>
      <c r="I5" s="3" t="s">
        <v>161</v>
      </c>
      <c r="J5" s="3" t="s">
        <v>162</v>
      </c>
      <c r="K5" s="3" t="s">
        <v>163</v>
      </c>
      <c r="L5" s="3" t="s">
        <v>164</v>
      </c>
      <c r="M5" s="3" t="s">
        <v>165</v>
      </c>
    </row>
    <row r="6" spans="1:13" x14ac:dyDescent="0.3">
      <c r="A6" s="4" t="s">
        <v>157</v>
      </c>
      <c r="B6" s="4" t="s">
        <v>159</v>
      </c>
      <c r="C6" s="4">
        <v>63</v>
      </c>
      <c r="E6" s="4" t="s">
        <v>166</v>
      </c>
      <c r="F6" s="16">
        <f t="shared" ref="F6:M6" si="0">SUMIFS($C$5:$C$796,$A$5:$A$796,$E6,$B$5:$B$796,F5)</f>
        <v>210</v>
      </c>
      <c r="G6" s="16">
        <f t="shared" si="0"/>
        <v>86</v>
      </c>
      <c r="H6" s="16">
        <f t="shared" si="0"/>
        <v>85</v>
      </c>
      <c r="I6" s="16">
        <f t="shared" si="0"/>
        <v>59</v>
      </c>
      <c r="J6" s="16">
        <f t="shared" si="0"/>
        <v>74</v>
      </c>
      <c r="K6" s="16">
        <f t="shared" si="0"/>
        <v>73</v>
      </c>
      <c r="L6" s="16">
        <f t="shared" si="0"/>
        <v>51</v>
      </c>
      <c r="M6" s="16">
        <f t="shared" si="0"/>
        <v>50</v>
      </c>
    </row>
    <row r="7" spans="1:13" x14ac:dyDescent="0.3">
      <c r="A7" s="4" t="s">
        <v>157</v>
      </c>
      <c r="B7" s="4" t="s">
        <v>163</v>
      </c>
      <c r="C7" s="4">
        <v>62</v>
      </c>
      <c r="E7" s="4" t="s">
        <v>167</v>
      </c>
      <c r="F7" s="16">
        <f t="shared" ref="F7:M7" si="1">SUMIFS($C$5:$C$796,$A$5:$A$796,$E7,$B$5:$B$796,F5)</f>
        <v>186</v>
      </c>
      <c r="G7" s="16">
        <f t="shared" si="1"/>
        <v>78</v>
      </c>
      <c r="H7" s="16">
        <f t="shared" si="1"/>
        <v>90</v>
      </c>
      <c r="I7" s="16">
        <f t="shared" si="1"/>
        <v>98</v>
      </c>
      <c r="J7" s="16">
        <f t="shared" si="1"/>
        <v>66</v>
      </c>
      <c r="K7" s="16">
        <f t="shared" si="1"/>
        <v>72</v>
      </c>
      <c r="L7" s="16">
        <f t="shared" si="1"/>
        <v>47</v>
      </c>
      <c r="M7" s="16">
        <f t="shared" si="1"/>
        <v>46</v>
      </c>
    </row>
    <row r="8" spans="1:13" x14ac:dyDescent="0.3">
      <c r="A8" s="4" t="s">
        <v>157</v>
      </c>
      <c r="B8" s="4" t="s">
        <v>160</v>
      </c>
      <c r="C8" s="4">
        <v>60</v>
      </c>
      <c r="E8" s="4" t="s">
        <v>157</v>
      </c>
      <c r="F8" s="16">
        <f t="shared" ref="F8:M8" si="2">SUMIFS($C$5:$C$796,$A$5:$A$796,$E8,$B$5:$B$796,F5)</f>
        <v>136</v>
      </c>
      <c r="G8" s="16">
        <f t="shared" si="2"/>
        <v>63</v>
      </c>
      <c r="H8" s="16">
        <f t="shared" si="2"/>
        <v>60</v>
      </c>
      <c r="I8" s="16">
        <f t="shared" si="2"/>
        <v>46</v>
      </c>
      <c r="J8" s="16">
        <f t="shared" si="2"/>
        <v>41</v>
      </c>
      <c r="K8" s="16">
        <f t="shared" si="2"/>
        <v>62</v>
      </c>
      <c r="L8" s="16">
        <f t="shared" si="2"/>
        <v>42</v>
      </c>
      <c r="M8" s="16">
        <f t="shared" si="2"/>
        <v>37</v>
      </c>
    </row>
    <row r="9" spans="1:13" x14ac:dyDescent="0.3">
      <c r="A9" s="4" t="s">
        <v>157</v>
      </c>
      <c r="B9" s="4" t="s">
        <v>161</v>
      </c>
      <c r="C9" s="4">
        <v>46</v>
      </c>
      <c r="E9" s="4" t="s">
        <v>168</v>
      </c>
      <c r="F9" s="16">
        <f t="shared" ref="F9:M9" si="3">SUMIFS($C$5:$C$796,$A$5:$A$796,$E9,$B$5:$B$796,F5)</f>
        <v>125</v>
      </c>
      <c r="G9" s="16">
        <f t="shared" si="3"/>
        <v>70</v>
      </c>
      <c r="H9" s="16">
        <f t="shared" si="3"/>
        <v>51</v>
      </c>
      <c r="I9" s="16">
        <f t="shared" si="3"/>
        <v>54</v>
      </c>
      <c r="J9" s="16">
        <f t="shared" si="3"/>
        <v>49</v>
      </c>
      <c r="K9" s="16">
        <f t="shared" si="3"/>
        <v>52</v>
      </c>
      <c r="L9" s="16">
        <f t="shared" si="3"/>
        <v>28</v>
      </c>
      <c r="M9" s="16">
        <f t="shared" si="3"/>
        <v>20</v>
      </c>
    </row>
    <row r="10" spans="1:13" x14ac:dyDescent="0.3">
      <c r="A10" s="4" t="s">
        <v>157</v>
      </c>
      <c r="B10" s="4" t="s">
        <v>164</v>
      </c>
      <c r="C10" s="4">
        <v>42</v>
      </c>
      <c r="E10" s="4" t="s">
        <v>169</v>
      </c>
      <c r="F10" s="16">
        <f t="shared" ref="F10:M10" si="4">SUMIFS($C$5:$C$796,$A$5:$A$796,$E10,$B$5:$B$796,F5)</f>
        <v>131</v>
      </c>
      <c r="G10" s="16">
        <f t="shared" si="4"/>
        <v>49</v>
      </c>
      <c r="H10" s="16">
        <f t="shared" si="4"/>
        <v>46</v>
      </c>
      <c r="I10" s="16">
        <f t="shared" si="4"/>
        <v>43</v>
      </c>
      <c r="J10" s="16">
        <f t="shared" si="4"/>
        <v>39</v>
      </c>
      <c r="K10" s="16">
        <f t="shared" si="4"/>
        <v>26</v>
      </c>
      <c r="L10" s="16">
        <f t="shared" si="4"/>
        <v>46</v>
      </c>
      <c r="M10" s="16">
        <f t="shared" si="4"/>
        <v>36</v>
      </c>
    </row>
    <row r="11" spans="1:13" x14ac:dyDescent="0.3">
      <c r="A11" s="4" t="s">
        <v>157</v>
      </c>
      <c r="B11" s="4" t="s">
        <v>162</v>
      </c>
      <c r="C11" s="4">
        <v>41</v>
      </c>
      <c r="E11" s="4" t="s">
        <v>170</v>
      </c>
      <c r="F11" s="16">
        <f t="shared" ref="F11:M11" si="5">SUMIFS($C$5:$C$796,$A$5:$A$796,$E11,$B$5:$B$796,F5)</f>
        <v>79</v>
      </c>
      <c r="G11" s="16">
        <f t="shared" si="5"/>
        <v>40</v>
      </c>
      <c r="H11" s="16">
        <f t="shared" si="5"/>
        <v>29</v>
      </c>
      <c r="I11" s="16">
        <f t="shared" si="5"/>
        <v>38</v>
      </c>
      <c r="J11" s="16">
        <f t="shared" si="5"/>
        <v>31</v>
      </c>
      <c r="K11" s="16">
        <f t="shared" si="5"/>
        <v>19</v>
      </c>
      <c r="L11" s="16">
        <f t="shared" si="5"/>
        <v>30</v>
      </c>
      <c r="M11" s="16">
        <f t="shared" si="5"/>
        <v>25</v>
      </c>
    </row>
    <row r="12" spans="1:13" x14ac:dyDescent="0.3">
      <c r="A12" s="4" t="s">
        <v>157</v>
      </c>
      <c r="B12" s="4" t="s">
        <v>171</v>
      </c>
      <c r="C12" s="4">
        <v>39</v>
      </c>
      <c r="E12" s="4" t="s">
        <v>172</v>
      </c>
      <c r="F12" s="16">
        <f t="shared" ref="F12:M12" si="6">SUMIFS($C$5:$C$796,$A$5:$A$796,$E12,$B$5:$B$796,F5)</f>
        <v>67</v>
      </c>
      <c r="G12" s="16">
        <f t="shared" si="6"/>
        <v>35</v>
      </c>
      <c r="H12" s="16">
        <f t="shared" si="6"/>
        <v>26</v>
      </c>
      <c r="I12" s="16">
        <f t="shared" si="6"/>
        <v>30</v>
      </c>
      <c r="J12" s="16">
        <f t="shared" si="6"/>
        <v>14</v>
      </c>
      <c r="K12" s="16">
        <f t="shared" si="6"/>
        <v>28</v>
      </c>
      <c r="L12" s="16">
        <f t="shared" si="6"/>
        <v>36</v>
      </c>
      <c r="M12" s="16">
        <f t="shared" si="6"/>
        <v>24</v>
      </c>
    </row>
    <row r="13" spans="1:13" x14ac:dyDescent="0.3">
      <c r="A13" s="4" t="s">
        <v>157</v>
      </c>
      <c r="B13" s="4" t="s">
        <v>165</v>
      </c>
      <c r="C13" s="4">
        <v>37</v>
      </c>
      <c r="E13" s="4" t="s">
        <v>173</v>
      </c>
      <c r="F13" s="16">
        <f t="shared" ref="F13:M13" si="7">SUMIFS($C$5:$C$796,$A$5:$A$796,$E13,$B$5:$B$796,F5)</f>
        <v>94</v>
      </c>
      <c r="G13" s="16">
        <f t="shared" si="7"/>
        <v>17</v>
      </c>
      <c r="H13" s="16">
        <f t="shared" si="7"/>
        <v>21</v>
      </c>
      <c r="I13" s="16">
        <f t="shared" si="7"/>
        <v>13</v>
      </c>
      <c r="J13" s="16">
        <f t="shared" si="7"/>
        <v>14</v>
      </c>
      <c r="K13" s="16">
        <f t="shared" si="7"/>
        <v>15</v>
      </c>
      <c r="L13" s="16">
        <f t="shared" si="7"/>
        <v>10</v>
      </c>
      <c r="M13" s="16">
        <f t="shared" si="7"/>
        <v>6</v>
      </c>
    </row>
    <row r="14" spans="1:13" x14ac:dyDescent="0.3">
      <c r="A14" s="4" t="s">
        <v>157</v>
      </c>
      <c r="B14" s="4" t="s">
        <v>174</v>
      </c>
      <c r="C14" s="4">
        <v>36</v>
      </c>
      <c r="E14" s="4" t="s">
        <v>175</v>
      </c>
      <c r="F14" s="16">
        <f t="shared" ref="F14:M14" si="8">SUMIFS($C$5:$C$796,$A$5:$A$796,$E14,$B$5:$B$796,F5)</f>
        <v>57</v>
      </c>
      <c r="G14" s="16">
        <f t="shared" si="8"/>
        <v>19</v>
      </c>
      <c r="H14" s="16">
        <f t="shared" si="8"/>
        <v>18</v>
      </c>
      <c r="I14" s="16">
        <f t="shared" si="8"/>
        <v>26</v>
      </c>
      <c r="J14" s="16">
        <f t="shared" si="8"/>
        <v>22</v>
      </c>
      <c r="K14" s="16">
        <f t="shared" si="8"/>
        <v>12</v>
      </c>
      <c r="L14" s="16">
        <f t="shared" si="8"/>
        <v>16</v>
      </c>
      <c r="M14" s="16">
        <f t="shared" si="8"/>
        <v>8</v>
      </c>
    </row>
    <row r="15" spans="1:13" x14ac:dyDescent="0.3">
      <c r="A15" s="4" t="s">
        <v>157</v>
      </c>
      <c r="B15" s="4" t="s">
        <v>176</v>
      </c>
      <c r="C15" s="4">
        <v>27</v>
      </c>
      <c r="E15" s="4" t="s">
        <v>177</v>
      </c>
      <c r="F15" s="16">
        <f t="shared" ref="F15:M15" si="9">SUMIFS($C$5:$C$796,$A$5:$A$796,$E15,$B$5:$B$796,F5)</f>
        <v>42</v>
      </c>
      <c r="G15" s="16">
        <f t="shared" si="9"/>
        <v>25</v>
      </c>
      <c r="H15" s="16">
        <f t="shared" si="9"/>
        <v>22</v>
      </c>
      <c r="I15" s="16">
        <f t="shared" si="9"/>
        <v>28</v>
      </c>
      <c r="J15" s="16">
        <f t="shared" si="9"/>
        <v>21</v>
      </c>
      <c r="K15" s="16">
        <f t="shared" si="9"/>
        <v>20</v>
      </c>
      <c r="L15" s="16">
        <f t="shared" si="9"/>
        <v>23</v>
      </c>
      <c r="M15" s="16">
        <f t="shared" si="9"/>
        <v>19</v>
      </c>
    </row>
    <row r="16" spans="1:13" x14ac:dyDescent="0.3">
      <c r="A16" s="4" t="s">
        <v>157</v>
      </c>
      <c r="B16" s="4" t="s">
        <v>178</v>
      </c>
      <c r="C16" s="4">
        <v>15</v>
      </c>
      <c r="E16" s="4" t="s">
        <v>179</v>
      </c>
      <c r="F16" s="16">
        <f t="shared" ref="F16:M16" si="10">SUMIFS($C$5:$C$796,$A$5:$A$796,$E16,$B$5:$B$796,F5)</f>
        <v>41</v>
      </c>
      <c r="G16" s="16">
        <f t="shared" si="10"/>
        <v>23</v>
      </c>
      <c r="H16" s="16">
        <f t="shared" si="10"/>
        <v>19</v>
      </c>
      <c r="I16" s="16">
        <f t="shared" si="10"/>
        <v>10</v>
      </c>
      <c r="J16" s="16">
        <f t="shared" si="10"/>
        <v>25</v>
      </c>
      <c r="K16" s="16">
        <f t="shared" si="10"/>
        <v>19</v>
      </c>
      <c r="L16" s="16">
        <f t="shared" si="10"/>
        <v>18</v>
      </c>
      <c r="M16" s="16">
        <f t="shared" si="10"/>
        <v>22</v>
      </c>
    </row>
    <row r="17" spans="1:13" x14ac:dyDescent="0.3">
      <c r="A17" s="4" t="s">
        <v>157</v>
      </c>
      <c r="B17" s="4" t="s">
        <v>180</v>
      </c>
      <c r="C17" s="4">
        <v>8</v>
      </c>
      <c r="E17" s="4" t="s">
        <v>181</v>
      </c>
      <c r="F17" s="16">
        <f t="shared" ref="F17:M17" si="11">SUMIFS($C$5:$C$796,$A$5:$A$796,$E17,$B$5:$B$796,F5)</f>
        <v>52</v>
      </c>
      <c r="G17" s="16">
        <f t="shared" si="11"/>
        <v>25</v>
      </c>
      <c r="H17" s="16">
        <f t="shared" si="11"/>
        <v>24</v>
      </c>
      <c r="I17" s="16">
        <f t="shared" si="11"/>
        <v>14</v>
      </c>
      <c r="J17" s="16">
        <f t="shared" si="11"/>
        <v>17</v>
      </c>
      <c r="K17" s="16">
        <f t="shared" si="11"/>
        <v>10</v>
      </c>
      <c r="L17" s="16">
        <f t="shared" si="11"/>
        <v>17</v>
      </c>
      <c r="M17" s="16">
        <f t="shared" si="11"/>
        <v>9</v>
      </c>
    </row>
    <row r="18" spans="1:13" x14ac:dyDescent="0.3">
      <c r="A18" s="4" t="s">
        <v>157</v>
      </c>
      <c r="B18" s="4" t="s">
        <v>182</v>
      </c>
      <c r="C18" s="4">
        <v>7</v>
      </c>
    </row>
    <row r="19" spans="1:13" x14ac:dyDescent="0.3">
      <c r="A19" s="4" t="s">
        <v>157</v>
      </c>
      <c r="B19" s="4" t="s">
        <v>183</v>
      </c>
      <c r="C19" s="4">
        <v>3</v>
      </c>
    </row>
    <row r="20" spans="1:13" x14ac:dyDescent="0.3">
      <c r="A20" s="4" t="s">
        <v>157</v>
      </c>
      <c r="B20" s="4" t="s">
        <v>184</v>
      </c>
      <c r="C20" s="4">
        <v>3</v>
      </c>
      <c r="E20" s="2" t="s">
        <v>185</v>
      </c>
    </row>
    <row r="21" spans="1:13" x14ac:dyDescent="0.3">
      <c r="A21" s="4" t="s">
        <v>157</v>
      </c>
      <c r="B21" s="4" t="s">
        <v>186</v>
      </c>
      <c r="C21" s="4">
        <v>2</v>
      </c>
    </row>
    <row r="22" spans="1:13" x14ac:dyDescent="0.3">
      <c r="A22" s="4" t="s">
        <v>157</v>
      </c>
      <c r="B22" s="4" t="s">
        <v>187</v>
      </c>
      <c r="C22" s="4">
        <v>2</v>
      </c>
    </row>
    <row r="23" spans="1:13" x14ac:dyDescent="0.3">
      <c r="A23" s="4" t="s">
        <v>157</v>
      </c>
      <c r="B23" s="4" t="s">
        <v>188</v>
      </c>
      <c r="C23" s="4">
        <v>2</v>
      </c>
    </row>
    <row r="24" spans="1:13" x14ac:dyDescent="0.3">
      <c r="A24" s="4" t="s">
        <v>157</v>
      </c>
      <c r="B24" s="4" t="s">
        <v>189</v>
      </c>
      <c r="C24" s="4">
        <v>2</v>
      </c>
    </row>
    <row r="25" spans="1:13" x14ac:dyDescent="0.3">
      <c r="A25" s="4" t="s">
        <v>157</v>
      </c>
      <c r="B25" s="4" t="s">
        <v>190</v>
      </c>
      <c r="C25" s="4">
        <v>2</v>
      </c>
    </row>
    <row r="26" spans="1:13" x14ac:dyDescent="0.3">
      <c r="A26" s="4" t="s">
        <v>157</v>
      </c>
      <c r="B26" s="4" t="s">
        <v>191</v>
      </c>
      <c r="C26" s="4">
        <v>2</v>
      </c>
    </row>
    <row r="27" spans="1:13" x14ac:dyDescent="0.3">
      <c r="A27" s="4" t="s">
        <v>157</v>
      </c>
      <c r="B27" s="4" t="s">
        <v>192</v>
      </c>
      <c r="C27" s="4">
        <v>2</v>
      </c>
    </row>
    <row r="28" spans="1:13" x14ac:dyDescent="0.3">
      <c r="A28" s="4" t="s">
        <v>157</v>
      </c>
      <c r="B28" s="4" t="s">
        <v>193</v>
      </c>
      <c r="C28" s="4">
        <v>2</v>
      </c>
    </row>
    <row r="29" spans="1:13" x14ac:dyDescent="0.3">
      <c r="A29" s="4" t="s">
        <v>157</v>
      </c>
      <c r="B29" s="4" t="s">
        <v>194</v>
      </c>
      <c r="C29" s="4">
        <v>2</v>
      </c>
    </row>
    <row r="30" spans="1:13" x14ac:dyDescent="0.3">
      <c r="A30" s="4" t="s">
        <v>157</v>
      </c>
      <c r="B30" s="4" t="s">
        <v>195</v>
      </c>
      <c r="C30" s="4">
        <v>2</v>
      </c>
    </row>
    <row r="31" spans="1:13" x14ac:dyDescent="0.3">
      <c r="A31" s="4" t="s">
        <v>157</v>
      </c>
      <c r="B31" s="4" t="s">
        <v>196</v>
      </c>
      <c r="C31" s="4">
        <v>1</v>
      </c>
    </row>
    <row r="32" spans="1:13" x14ac:dyDescent="0.3">
      <c r="A32" s="4" t="s">
        <v>157</v>
      </c>
      <c r="B32" s="4" t="s">
        <v>197</v>
      </c>
      <c r="C32" s="4">
        <v>1</v>
      </c>
    </row>
    <row r="33" spans="1:3" x14ac:dyDescent="0.3">
      <c r="A33" s="4" t="s">
        <v>157</v>
      </c>
      <c r="B33" s="4" t="s">
        <v>198</v>
      </c>
      <c r="C33" s="4">
        <v>1</v>
      </c>
    </row>
    <row r="34" spans="1:3" x14ac:dyDescent="0.3">
      <c r="A34" s="4" t="s">
        <v>157</v>
      </c>
      <c r="B34" s="4" t="s">
        <v>199</v>
      </c>
      <c r="C34" s="4">
        <v>1</v>
      </c>
    </row>
    <row r="35" spans="1:3" x14ac:dyDescent="0.3">
      <c r="A35" s="4" t="s">
        <v>157</v>
      </c>
      <c r="B35" s="4" t="s">
        <v>200</v>
      </c>
      <c r="C35" s="4">
        <v>1</v>
      </c>
    </row>
    <row r="36" spans="1:3" x14ac:dyDescent="0.3">
      <c r="A36" s="4" t="s">
        <v>157</v>
      </c>
      <c r="B36" s="4" t="s">
        <v>201</v>
      </c>
      <c r="C36" s="4">
        <v>1</v>
      </c>
    </row>
    <row r="37" spans="1:3" x14ac:dyDescent="0.3">
      <c r="A37" s="4" t="s">
        <v>157</v>
      </c>
      <c r="B37" s="4" t="s">
        <v>202</v>
      </c>
      <c r="C37" s="4">
        <v>1</v>
      </c>
    </row>
    <row r="38" spans="1:3" x14ac:dyDescent="0.3">
      <c r="A38" s="4" t="s">
        <v>157</v>
      </c>
      <c r="B38" s="4" t="s">
        <v>203</v>
      </c>
      <c r="C38" s="4">
        <v>1</v>
      </c>
    </row>
    <row r="39" spans="1:3" x14ac:dyDescent="0.3">
      <c r="A39" s="4" t="s">
        <v>157</v>
      </c>
      <c r="B39" s="4" t="s">
        <v>204</v>
      </c>
      <c r="C39" s="4">
        <v>1</v>
      </c>
    </row>
    <row r="40" spans="1:3" x14ac:dyDescent="0.3">
      <c r="A40" s="4" t="s">
        <v>157</v>
      </c>
      <c r="B40" s="4" t="s">
        <v>205</v>
      </c>
      <c r="C40" s="4">
        <v>1</v>
      </c>
    </row>
    <row r="41" spans="1:3" x14ac:dyDescent="0.3">
      <c r="A41" s="4" t="s">
        <v>157</v>
      </c>
      <c r="B41" s="4" t="s">
        <v>206</v>
      </c>
      <c r="C41" s="4">
        <v>1</v>
      </c>
    </row>
    <row r="42" spans="1:3" x14ac:dyDescent="0.3">
      <c r="A42" s="4" t="s">
        <v>157</v>
      </c>
      <c r="B42" s="4" t="s">
        <v>207</v>
      </c>
      <c r="C42" s="4">
        <v>1</v>
      </c>
    </row>
    <row r="43" spans="1:3" x14ac:dyDescent="0.3">
      <c r="A43" s="4" t="s">
        <v>157</v>
      </c>
      <c r="B43" s="4" t="s">
        <v>208</v>
      </c>
      <c r="C43" s="4">
        <v>1</v>
      </c>
    </row>
    <row r="44" spans="1:3" x14ac:dyDescent="0.3">
      <c r="A44" s="4" t="s">
        <v>157</v>
      </c>
      <c r="B44" s="4" t="s">
        <v>209</v>
      </c>
      <c r="C44" s="4">
        <v>1</v>
      </c>
    </row>
    <row r="45" spans="1:3" x14ac:dyDescent="0.3">
      <c r="A45" s="4" t="s">
        <v>157</v>
      </c>
      <c r="B45" s="4" t="s">
        <v>210</v>
      </c>
      <c r="C45" s="4">
        <v>1</v>
      </c>
    </row>
    <row r="46" spans="1:3" x14ac:dyDescent="0.3">
      <c r="A46" s="4" t="s">
        <v>157</v>
      </c>
      <c r="B46" s="4" t="s">
        <v>211</v>
      </c>
      <c r="C46" s="4">
        <v>1</v>
      </c>
    </row>
    <row r="47" spans="1:3" x14ac:dyDescent="0.3">
      <c r="A47" s="4" t="s">
        <v>157</v>
      </c>
      <c r="B47" s="4" t="s">
        <v>212</v>
      </c>
      <c r="C47" s="4">
        <v>1</v>
      </c>
    </row>
    <row r="48" spans="1:3" x14ac:dyDescent="0.3">
      <c r="A48" s="4" t="s">
        <v>157</v>
      </c>
      <c r="B48" s="4" t="s">
        <v>213</v>
      </c>
      <c r="C48" s="4">
        <v>1</v>
      </c>
    </row>
    <row r="49" spans="1:3" x14ac:dyDescent="0.3">
      <c r="A49" s="4" t="s">
        <v>157</v>
      </c>
      <c r="B49" s="4" t="s">
        <v>214</v>
      </c>
      <c r="C49" s="4">
        <v>1</v>
      </c>
    </row>
    <row r="50" spans="1:3" x14ac:dyDescent="0.3">
      <c r="A50" s="4" t="s">
        <v>157</v>
      </c>
      <c r="B50" s="4" t="s">
        <v>215</v>
      </c>
      <c r="C50" s="4">
        <v>1</v>
      </c>
    </row>
    <row r="51" spans="1:3" x14ac:dyDescent="0.3">
      <c r="A51" s="4" t="s">
        <v>169</v>
      </c>
      <c r="B51" s="4" t="s">
        <v>158</v>
      </c>
      <c r="C51" s="4">
        <v>131</v>
      </c>
    </row>
    <row r="52" spans="1:3" x14ac:dyDescent="0.3">
      <c r="A52" s="4" t="s">
        <v>169</v>
      </c>
      <c r="B52" s="4" t="s">
        <v>159</v>
      </c>
      <c r="C52" s="4">
        <v>49</v>
      </c>
    </row>
    <row r="53" spans="1:3" x14ac:dyDescent="0.3">
      <c r="A53" s="4" t="s">
        <v>169</v>
      </c>
      <c r="B53" s="4" t="s">
        <v>160</v>
      </c>
      <c r="C53" s="4">
        <v>46</v>
      </c>
    </row>
    <row r="54" spans="1:3" x14ac:dyDescent="0.3">
      <c r="A54" s="4" t="s">
        <v>169</v>
      </c>
      <c r="B54" s="4" t="s">
        <v>164</v>
      </c>
      <c r="C54" s="4">
        <v>46</v>
      </c>
    </row>
    <row r="55" spans="1:3" x14ac:dyDescent="0.3">
      <c r="A55" s="4" t="s">
        <v>169</v>
      </c>
      <c r="B55" s="4" t="s">
        <v>161</v>
      </c>
      <c r="C55" s="4">
        <v>43</v>
      </c>
    </row>
    <row r="56" spans="1:3" x14ac:dyDescent="0.3">
      <c r="A56" s="4" t="s">
        <v>169</v>
      </c>
      <c r="B56" s="4" t="s">
        <v>162</v>
      </c>
      <c r="C56" s="4">
        <v>39</v>
      </c>
    </row>
    <row r="57" spans="1:3" x14ac:dyDescent="0.3">
      <c r="A57" s="4" t="s">
        <v>169</v>
      </c>
      <c r="B57" s="4" t="s">
        <v>165</v>
      </c>
      <c r="C57" s="4">
        <v>36</v>
      </c>
    </row>
    <row r="58" spans="1:3" x14ac:dyDescent="0.3">
      <c r="A58" s="4" t="s">
        <v>169</v>
      </c>
      <c r="B58" s="4" t="s">
        <v>163</v>
      </c>
      <c r="C58" s="4">
        <v>26</v>
      </c>
    </row>
    <row r="59" spans="1:3" x14ac:dyDescent="0.3">
      <c r="A59" s="4" t="s">
        <v>169</v>
      </c>
      <c r="B59" s="4" t="s">
        <v>174</v>
      </c>
      <c r="C59" s="4">
        <v>21</v>
      </c>
    </row>
    <row r="60" spans="1:3" x14ac:dyDescent="0.3">
      <c r="A60" s="4" t="s">
        <v>169</v>
      </c>
      <c r="B60" s="4" t="s">
        <v>176</v>
      </c>
      <c r="C60" s="4">
        <v>19</v>
      </c>
    </row>
    <row r="61" spans="1:3" x14ac:dyDescent="0.3">
      <c r="A61" s="4" t="s">
        <v>169</v>
      </c>
      <c r="B61" s="4" t="s">
        <v>183</v>
      </c>
      <c r="C61" s="4">
        <v>6</v>
      </c>
    </row>
    <row r="62" spans="1:3" x14ac:dyDescent="0.3">
      <c r="A62" s="4" t="s">
        <v>169</v>
      </c>
      <c r="B62" s="4" t="s">
        <v>171</v>
      </c>
      <c r="C62" s="4">
        <v>5</v>
      </c>
    </row>
    <row r="63" spans="1:3" x14ac:dyDescent="0.3">
      <c r="A63" s="4" t="s">
        <v>169</v>
      </c>
      <c r="B63" s="4" t="s">
        <v>180</v>
      </c>
      <c r="C63" s="4">
        <v>5</v>
      </c>
    </row>
    <row r="64" spans="1:3" x14ac:dyDescent="0.3">
      <c r="A64" s="4" t="s">
        <v>169</v>
      </c>
      <c r="B64" s="4" t="s">
        <v>182</v>
      </c>
      <c r="C64" s="4">
        <v>3</v>
      </c>
    </row>
    <row r="65" spans="1:3" x14ac:dyDescent="0.3">
      <c r="A65" s="4" t="s">
        <v>169</v>
      </c>
      <c r="B65" s="4" t="s">
        <v>187</v>
      </c>
      <c r="C65" s="4">
        <v>3</v>
      </c>
    </row>
    <row r="66" spans="1:3" x14ac:dyDescent="0.3">
      <c r="A66" s="4" t="s">
        <v>169</v>
      </c>
      <c r="B66" s="4" t="s">
        <v>178</v>
      </c>
      <c r="C66" s="4">
        <v>3</v>
      </c>
    </row>
    <row r="67" spans="1:3" x14ac:dyDescent="0.3">
      <c r="A67" s="4" t="s">
        <v>169</v>
      </c>
      <c r="B67" s="4" t="s">
        <v>194</v>
      </c>
      <c r="C67" s="4">
        <v>2</v>
      </c>
    </row>
    <row r="68" spans="1:3" x14ac:dyDescent="0.3">
      <c r="A68" s="4" t="s">
        <v>169</v>
      </c>
      <c r="B68" s="4" t="s">
        <v>204</v>
      </c>
      <c r="C68" s="4">
        <v>2</v>
      </c>
    </row>
    <row r="69" spans="1:3" x14ac:dyDescent="0.3">
      <c r="A69" s="4" t="s">
        <v>169</v>
      </c>
      <c r="B69" s="4" t="s">
        <v>195</v>
      </c>
      <c r="C69" s="4">
        <v>2</v>
      </c>
    </row>
    <row r="70" spans="1:3" x14ac:dyDescent="0.3">
      <c r="A70" s="4" t="s">
        <v>169</v>
      </c>
      <c r="B70" s="4" t="s">
        <v>192</v>
      </c>
      <c r="C70" s="4">
        <v>1</v>
      </c>
    </row>
    <row r="71" spans="1:3" x14ac:dyDescent="0.3">
      <c r="A71" s="4" t="s">
        <v>169</v>
      </c>
      <c r="B71" s="4" t="s">
        <v>216</v>
      </c>
      <c r="C71" s="4">
        <v>1</v>
      </c>
    </row>
    <row r="72" spans="1:3" x14ac:dyDescent="0.3">
      <c r="A72" s="4" t="s">
        <v>169</v>
      </c>
      <c r="B72" s="4" t="s">
        <v>217</v>
      </c>
      <c r="C72" s="4">
        <v>1</v>
      </c>
    </row>
    <row r="73" spans="1:3" x14ac:dyDescent="0.3">
      <c r="A73" s="4" t="s">
        <v>169</v>
      </c>
      <c r="B73" s="4" t="s">
        <v>200</v>
      </c>
      <c r="C73" s="4">
        <v>1</v>
      </c>
    </row>
    <row r="74" spans="1:3" x14ac:dyDescent="0.3">
      <c r="A74" s="4" t="s">
        <v>169</v>
      </c>
      <c r="B74" s="4" t="s">
        <v>218</v>
      </c>
      <c r="C74" s="4">
        <v>1</v>
      </c>
    </row>
    <row r="75" spans="1:3" x14ac:dyDescent="0.3">
      <c r="A75" s="4" t="s">
        <v>169</v>
      </c>
      <c r="B75" s="4" t="s">
        <v>219</v>
      </c>
      <c r="C75" s="4">
        <v>1</v>
      </c>
    </row>
    <row r="76" spans="1:3" x14ac:dyDescent="0.3">
      <c r="A76" s="4" t="s">
        <v>169</v>
      </c>
      <c r="B76" s="4" t="s">
        <v>209</v>
      </c>
      <c r="C76" s="4">
        <v>1</v>
      </c>
    </row>
    <row r="77" spans="1:3" x14ac:dyDescent="0.3">
      <c r="A77" s="4" t="s">
        <v>169</v>
      </c>
      <c r="B77" s="4" t="s">
        <v>220</v>
      </c>
      <c r="C77" s="4">
        <v>1</v>
      </c>
    </row>
    <row r="78" spans="1:3" x14ac:dyDescent="0.3">
      <c r="A78" s="4" t="s">
        <v>169</v>
      </c>
      <c r="B78" s="4" t="s">
        <v>221</v>
      </c>
      <c r="C78" s="4">
        <v>1</v>
      </c>
    </row>
    <row r="79" spans="1:3" x14ac:dyDescent="0.3">
      <c r="A79" s="4" t="s">
        <v>169</v>
      </c>
      <c r="B79" s="4" t="s">
        <v>222</v>
      </c>
      <c r="C79" s="4">
        <v>1</v>
      </c>
    </row>
    <row r="80" spans="1:3" x14ac:dyDescent="0.3">
      <c r="A80" s="4" t="s">
        <v>169</v>
      </c>
      <c r="B80" s="4" t="s">
        <v>208</v>
      </c>
      <c r="C80" s="4">
        <v>1</v>
      </c>
    </row>
    <row r="81" spans="1:3" x14ac:dyDescent="0.3">
      <c r="A81" s="4" t="s">
        <v>169</v>
      </c>
      <c r="B81" s="4" t="s">
        <v>223</v>
      </c>
      <c r="C81" s="4">
        <v>1</v>
      </c>
    </row>
    <row r="82" spans="1:3" x14ac:dyDescent="0.3">
      <c r="A82" s="4" t="s">
        <v>169</v>
      </c>
      <c r="B82" s="4" t="s">
        <v>224</v>
      </c>
      <c r="C82" s="4">
        <v>1</v>
      </c>
    </row>
    <row r="83" spans="1:3" x14ac:dyDescent="0.3">
      <c r="A83" s="4" t="s">
        <v>169</v>
      </c>
      <c r="B83" s="4" t="s">
        <v>213</v>
      </c>
      <c r="C83" s="4">
        <v>1</v>
      </c>
    </row>
    <row r="84" spans="1:3" x14ac:dyDescent="0.3">
      <c r="A84" s="4" t="s">
        <v>169</v>
      </c>
      <c r="B84" s="4" t="s">
        <v>186</v>
      </c>
      <c r="C84" s="4">
        <v>1</v>
      </c>
    </row>
    <row r="85" spans="1:3" x14ac:dyDescent="0.3">
      <c r="A85" s="4" t="s">
        <v>169</v>
      </c>
      <c r="B85" s="4" t="s">
        <v>225</v>
      </c>
      <c r="C85" s="4">
        <v>1</v>
      </c>
    </row>
    <row r="86" spans="1:3" x14ac:dyDescent="0.3">
      <c r="A86" s="4" t="s">
        <v>169</v>
      </c>
      <c r="B86" s="4" t="s">
        <v>191</v>
      </c>
      <c r="C86" s="4">
        <v>1</v>
      </c>
    </row>
    <row r="87" spans="1:3" x14ac:dyDescent="0.3">
      <c r="A87" s="4" t="s">
        <v>169</v>
      </c>
      <c r="B87" s="4" t="s">
        <v>202</v>
      </c>
      <c r="C87" s="4">
        <v>1</v>
      </c>
    </row>
    <row r="88" spans="1:3" x14ac:dyDescent="0.3">
      <c r="A88" s="4" t="s">
        <v>169</v>
      </c>
      <c r="B88" s="4" t="s">
        <v>193</v>
      </c>
      <c r="C88" s="4">
        <v>1</v>
      </c>
    </row>
    <row r="89" spans="1:3" x14ac:dyDescent="0.3">
      <c r="A89" s="4" t="s">
        <v>169</v>
      </c>
      <c r="B89" s="4" t="s">
        <v>226</v>
      </c>
      <c r="C89" s="4">
        <v>1</v>
      </c>
    </row>
    <row r="90" spans="1:3" x14ac:dyDescent="0.3">
      <c r="A90" s="4" t="s">
        <v>169</v>
      </c>
      <c r="B90" s="4" t="s">
        <v>207</v>
      </c>
      <c r="C90" s="4">
        <v>1</v>
      </c>
    </row>
    <row r="91" spans="1:3" x14ac:dyDescent="0.3">
      <c r="A91" s="4" t="s">
        <v>169</v>
      </c>
      <c r="B91" s="4" t="s">
        <v>189</v>
      </c>
      <c r="C91" s="4">
        <v>1</v>
      </c>
    </row>
    <row r="92" spans="1:3" x14ac:dyDescent="0.3">
      <c r="A92" s="4" t="s">
        <v>227</v>
      </c>
      <c r="B92" s="4" t="s">
        <v>158</v>
      </c>
      <c r="C92" s="4">
        <v>34</v>
      </c>
    </row>
    <row r="93" spans="1:3" x14ac:dyDescent="0.3">
      <c r="A93" s="4" t="s">
        <v>227</v>
      </c>
      <c r="B93" s="4" t="s">
        <v>160</v>
      </c>
      <c r="C93" s="4">
        <v>14</v>
      </c>
    </row>
    <row r="94" spans="1:3" x14ac:dyDescent="0.3">
      <c r="A94" s="4" t="s">
        <v>227</v>
      </c>
      <c r="B94" s="4" t="s">
        <v>176</v>
      </c>
      <c r="C94" s="4">
        <v>12</v>
      </c>
    </row>
    <row r="95" spans="1:3" x14ac:dyDescent="0.3">
      <c r="A95" s="4" t="s">
        <v>227</v>
      </c>
      <c r="B95" s="4" t="s">
        <v>159</v>
      </c>
      <c r="C95" s="4">
        <v>11</v>
      </c>
    </row>
    <row r="96" spans="1:3" x14ac:dyDescent="0.3">
      <c r="A96" s="4" t="s">
        <v>227</v>
      </c>
      <c r="B96" s="4" t="s">
        <v>164</v>
      </c>
      <c r="C96" s="4">
        <v>9</v>
      </c>
    </row>
    <row r="97" spans="1:3" x14ac:dyDescent="0.3">
      <c r="A97" s="4" t="s">
        <v>227</v>
      </c>
      <c r="B97" s="4" t="s">
        <v>161</v>
      </c>
      <c r="C97" s="4">
        <v>7</v>
      </c>
    </row>
    <row r="98" spans="1:3" x14ac:dyDescent="0.3">
      <c r="A98" s="4" t="s">
        <v>227</v>
      </c>
      <c r="B98" s="4" t="s">
        <v>163</v>
      </c>
      <c r="C98" s="4">
        <v>6</v>
      </c>
    </row>
    <row r="99" spans="1:3" x14ac:dyDescent="0.3">
      <c r="A99" s="4" t="s">
        <v>227</v>
      </c>
      <c r="B99" s="4" t="s">
        <v>162</v>
      </c>
      <c r="C99" s="4">
        <v>5</v>
      </c>
    </row>
    <row r="100" spans="1:3" x14ac:dyDescent="0.3">
      <c r="A100" s="4" t="s">
        <v>227</v>
      </c>
      <c r="B100" s="4" t="s">
        <v>174</v>
      </c>
      <c r="C100" s="4">
        <v>4</v>
      </c>
    </row>
    <row r="101" spans="1:3" x14ac:dyDescent="0.3">
      <c r="A101" s="4" t="s">
        <v>227</v>
      </c>
      <c r="B101" s="4" t="s">
        <v>171</v>
      </c>
      <c r="C101" s="4">
        <v>2</v>
      </c>
    </row>
    <row r="102" spans="1:3" x14ac:dyDescent="0.3">
      <c r="A102" s="4" t="s">
        <v>227</v>
      </c>
      <c r="B102" s="4" t="s">
        <v>228</v>
      </c>
      <c r="C102" s="4">
        <v>1</v>
      </c>
    </row>
    <row r="103" spans="1:3" x14ac:dyDescent="0.3">
      <c r="A103" s="4" t="s">
        <v>227</v>
      </c>
      <c r="B103" s="4" t="s">
        <v>192</v>
      </c>
      <c r="C103" s="4">
        <v>1</v>
      </c>
    </row>
    <row r="104" spans="1:3" x14ac:dyDescent="0.3">
      <c r="A104" s="4" t="s">
        <v>227</v>
      </c>
      <c r="B104" s="4" t="s">
        <v>229</v>
      </c>
      <c r="C104" s="4">
        <v>1</v>
      </c>
    </row>
    <row r="105" spans="1:3" x14ac:dyDescent="0.3">
      <c r="A105" s="4" t="s">
        <v>227</v>
      </c>
      <c r="B105" s="4" t="s">
        <v>165</v>
      </c>
      <c r="C105" s="4">
        <v>1</v>
      </c>
    </row>
    <row r="106" spans="1:3" x14ac:dyDescent="0.3">
      <c r="A106" s="4" t="s">
        <v>170</v>
      </c>
      <c r="B106" s="4" t="s">
        <v>158</v>
      </c>
      <c r="C106" s="4">
        <v>79</v>
      </c>
    </row>
    <row r="107" spans="1:3" x14ac:dyDescent="0.3">
      <c r="A107" s="4" t="s">
        <v>170</v>
      </c>
      <c r="B107" s="4" t="s">
        <v>159</v>
      </c>
      <c r="C107" s="4">
        <v>40</v>
      </c>
    </row>
    <row r="108" spans="1:3" x14ac:dyDescent="0.3">
      <c r="A108" s="4" t="s">
        <v>170</v>
      </c>
      <c r="B108" s="4" t="s">
        <v>161</v>
      </c>
      <c r="C108" s="4">
        <v>38</v>
      </c>
    </row>
    <row r="109" spans="1:3" x14ac:dyDescent="0.3">
      <c r="A109" s="4" t="s">
        <v>170</v>
      </c>
      <c r="B109" s="4" t="s">
        <v>162</v>
      </c>
      <c r="C109" s="4">
        <v>31</v>
      </c>
    </row>
    <row r="110" spans="1:3" x14ac:dyDescent="0.3">
      <c r="A110" s="4" t="s">
        <v>170</v>
      </c>
      <c r="B110" s="4" t="s">
        <v>164</v>
      </c>
      <c r="C110" s="4">
        <v>30</v>
      </c>
    </row>
    <row r="111" spans="1:3" x14ac:dyDescent="0.3">
      <c r="A111" s="4" t="s">
        <v>170</v>
      </c>
      <c r="B111" s="4" t="s">
        <v>160</v>
      </c>
      <c r="C111" s="4">
        <v>29</v>
      </c>
    </row>
    <row r="112" spans="1:3" x14ac:dyDescent="0.3">
      <c r="A112" s="4" t="s">
        <v>170</v>
      </c>
      <c r="B112" s="4" t="s">
        <v>165</v>
      </c>
      <c r="C112" s="4">
        <v>25</v>
      </c>
    </row>
    <row r="113" spans="1:3" x14ac:dyDescent="0.3">
      <c r="A113" s="4" t="s">
        <v>170</v>
      </c>
      <c r="B113" s="4" t="s">
        <v>163</v>
      </c>
      <c r="C113" s="4">
        <v>19</v>
      </c>
    </row>
    <row r="114" spans="1:3" x14ac:dyDescent="0.3">
      <c r="A114" s="4" t="s">
        <v>170</v>
      </c>
      <c r="B114" s="4" t="s">
        <v>174</v>
      </c>
      <c r="C114" s="4">
        <v>14</v>
      </c>
    </row>
    <row r="115" spans="1:3" x14ac:dyDescent="0.3">
      <c r="A115" s="4" t="s">
        <v>170</v>
      </c>
      <c r="B115" s="4" t="s">
        <v>176</v>
      </c>
      <c r="C115" s="4">
        <v>11</v>
      </c>
    </row>
    <row r="116" spans="1:3" x14ac:dyDescent="0.3">
      <c r="A116" s="4" t="s">
        <v>170</v>
      </c>
      <c r="B116" s="4" t="s">
        <v>171</v>
      </c>
      <c r="C116" s="4">
        <v>9</v>
      </c>
    </row>
    <row r="117" spans="1:3" x14ac:dyDescent="0.3">
      <c r="A117" s="4" t="s">
        <v>170</v>
      </c>
      <c r="B117" s="4" t="s">
        <v>194</v>
      </c>
      <c r="C117" s="4">
        <v>7</v>
      </c>
    </row>
    <row r="118" spans="1:3" x14ac:dyDescent="0.3">
      <c r="A118" s="4" t="s">
        <v>170</v>
      </c>
      <c r="B118" s="4" t="s">
        <v>183</v>
      </c>
      <c r="C118" s="4">
        <v>4</v>
      </c>
    </row>
    <row r="119" spans="1:3" x14ac:dyDescent="0.3">
      <c r="A119" s="4" t="s">
        <v>170</v>
      </c>
      <c r="B119" s="4" t="s">
        <v>182</v>
      </c>
      <c r="C119" s="4">
        <v>3</v>
      </c>
    </row>
    <row r="120" spans="1:3" x14ac:dyDescent="0.3">
      <c r="A120" s="4" t="s">
        <v>170</v>
      </c>
      <c r="B120" s="4" t="s">
        <v>230</v>
      </c>
      <c r="C120" s="4">
        <v>2</v>
      </c>
    </row>
    <row r="121" spans="1:3" x14ac:dyDescent="0.3">
      <c r="A121" s="4" t="s">
        <v>170</v>
      </c>
      <c r="B121" s="4" t="s">
        <v>202</v>
      </c>
      <c r="C121" s="4">
        <v>2</v>
      </c>
    </row>
    <row r="122" spans="1:3" x14ac:dyDescent="0.3">
      <c r="A122" s="4" t="s">
        <v>170</v>
      </c>
      <c r="B122" s="4" t="s">
        <v>180</v>
      </c>
      <c r="C122" s="4">
        <v>2</v>
      </c>
    </row>
    <row r="123" spans="1:3" x14ac:dyDescent="0.3">
      <c r="A123" s="4" t="s">
        <v>170</v>
      </c>
      <c r="B123" s="4" t="s">
        <v>193</v>
      </c>
      <c r="C123" s="4">
        <v>2</v>
      </c>
    </row>
    <row r="124" spans="1:3" x14ac:dyDescent="0.3">
      <c r="A124" s="4" t="s">
        <v>170</v>
      </c>
      <c r="B124" s="4" t="s">
        <v>204</v>
      </c>
      <c r="C124" s="4">
        <v>2</v>
      </c>
    </row>
    <row r="125" spans="1:3" x14ac:dyDescent="0.3">
      <c r="A125" s="4" t="s">
        <v>170</v>
      </c>
      <c r="B125" s="4" t="s">
        <v>184</v>
      </c>
      <c r="C125" s="4">
        <v>2</v>
      </c>
    </row>
    <row r="126" spans="1:3" x14ac:dyDescent="0.3">
      <c r="A126" s="4" t="s">
        <v>170</v>
      </c>
      <c r="B126" s="4" t="s">
        <v>197</v>
      </c>
      <c r="C126" s="4">
        <v>2</v>
      </c>
    </row>
    <row r="127" spans="1:3" x14ac:dyDescent="0.3">
      <c r="A127" s="4" t="s">
        <v>170</v>
      </c>
      <c r="B127" s="4" t="s">
        <v>211</v>
      </c>
      <c r="C127" s="4">
        <v>1</v>
      </c>
    </row>
    <row r="128" spans="1:3" x14ac:dyDescent="0.3">
      <c r="A128" s="4" t="s">
        <v>170</v>
      </c>
      <c r="B128" s="4" t="s">
        <v>231</v>
      </c>
      <c r="C128" s="4">
        <v>1</v>
      </c>
    </row>
    <row r="129" spans="1:3" x14ac:dyDescent="0.3">
      <c r="A129" s="4" t="s">
        <v>170</v>
      </c>
      <c r="B129" s="4" t="s">
        <v>208</v>
      </c>
      <c r="C129" s="4">
        <v>1</v>
      </c>
    </row>
    <row r="130" spans="1:3" x14ac:dyDescent="0.3">
      <c r="A130" s="4" t="s">
        <v>170</v>
      </c>
      <c r="B130" s="4" t="s">
        <v>214</v>
      </c>
      <c r="C130" s="4">
        <v>1</v>
      </c>
    </row>
    <row r="131" spans="1:3" x14ac:dyDescent="0.3">
      <c r="A131" s="4" t="s">
        <v>170</v>
      </c>
      <c r="B131" s="4" t="s">
        <v>220</v>
      </c>
      <c r="C131" s="4">
        <v>1</v>
      </c>
    </row>
    <row r="132" spans="1:3" x14ac:dyDescent="0.3">
      <c r="A132" s="4" t="s">
        <v>170</v>
      </c>
      <c r="B132" s="4" t="s">
        <v>232</v>
      </c>
      <c r="C132" s="4">
        <v>1</v>
      </c>
    </row>
    <row r="133" spans="1:3" x14ac:dyDescent="0.3">
      <c r="A133" s="4" t="s">
        <v>170</v>
      </c>
      <c r="B133" s="4" t="s">
        <v>209</v>
      </c>
      <c r="C133" s="4">
        <v>1</v>
      </c>
    </row>
    <row r="134" spans="1:3" x14ac:dyDescent="0.3">
      <c r="A134" s="4" t="s">
        <v>170</v>
      </c>
      <c r="B134" s="4" t="s">
        <v>198</v>
      </c>
      <c r="C134" s="4">
        <v>1</v>
      </c>
    </row>
    <row r="135" spans="1:3" x14ac:dyDescent="0.3">
      <c r="A135" s="4" t="s">
        <v>170</v>
      </c>
      <c r="B135" s="4" t="s">
        <v>186</v>
      </c>
      <c r="C135" s="4">
        <v>1</v>
      </c>
    </row>
    <row r="136" spans="1:3" x14ac:dyDescent="0.3">
      <c r="A136" s="4" t="s">
        <v>170</v>
      </c>
      <c r="B136" s="4" t="s">
        <v>213</v>
      </c>
      <c r="C136" s="4">
        <v>1</v>
      </c>
    </row>
    <row r="137" spans="1:3" x14ac:dyDescent="0.3">
      <c r="A137" s="4" t="s">
        <v>170</v>
      </c>
      <c r="B137" s="4" t="s">
        <v>188</v>
      </c>
      <c r="C137" s="4">
        <v>1</v>
      </c>
    </row>
    <row r="138" spans="1:3" x14ac:dyDescent="0.3">
      <c r="A138" s="4" t="s">
        <v>170</v>
      </c>
      <c r="B138" s="4" t="s">
        <v>203</v>
      </c>
      <c r="C138" s="4">
        <v>1</v>
      </c>
    </row>
    <row r="139" spans="1:3" x14ac:dyDescent="0.3">
      <c r="A139" s="4" t="s">
        <v>170</v>
      </c>
      <c r="B139" s="4" t="s">
        <v>178</v>
      </c>
      <c r="C139" s="4">
        <v>1</v>
      </c>
    </row>
    <row r="140" spans="1:3" x14ac:dyDescent="0.3">
      <c r="A140" s="4" t="s">
        <v>170</v>
      </c>
      <c r="B140" s="4" t="s">
        <v>200</v>
      </c>
      <c r="C140" s="4">
        <v>1</v>
      </c>
    </row>
    <row r="141" spans="1:3" x14ac:dyDescent="0.3">
      <c r="A141" s="4" t="s">
        <v>170</v>
      </c>
      <c r="B141" s="4" t="s">
        <v>210</v>
      </c>
      <c r="C141" s="4">
        <v>1</v>
      </c>
    </row>
    <row r="142" spans="1:3" x14ac:dyDescent="0.3">
      <c r="A142" s="4" t="s">
        <v>233</v>
      </c>
      <c r="B142" s="4" t="s">
        <v>158</v>
      </c>
      <c r="C142" s="4">
        <v>34</v>
      </c>
    </row>
    <row r="143" spans="1:3" x14ac:dyDescent="0.3">
      <c r="A143" s="4" t="s">
        <v>233</v>
      </c>
      <c r="B143" s="4" t="s">
        <v>160</v>
      </c>
      <c r="C143" s="4">
        <v>22</v>
      </c>
    </row>
    <row r="144" spans="1:3" x14ac:dyDescent="0.3">
      <c r="A144" s="4" t="s">
        <v>233</v>
      </c>
      <c r="B144" s="4" t="s">
        <v>159</v>
      </c>
      <c r="C144" s="4">
        <v>21</v>
      </c>
    </row>
    <row r="145" spans="1:3" x14ac:dyDescent="0.3">
      <c r="A145" s="4" t="s">
        <v>233</v>
      </c>
      <c r="B145" s="4" t="s">
        <v>165</v>
      </c>
      <c r="C145" s="4">
        <v>12</v>
      </c>
    </row>
    <row r="146" spans="1:3" x14ac:dyDescent="0.3">
      <c r="A146" s="4" t="s">
        <v>233</v>
      </c>
      <c r="B146" s="4" t="s">
        <v>162</v>
      </c>
      <c r="C146" s="4">
        <v>12</v>
      </c>
    </row>
    <row r="147" spans="1:3" x14ac:dyDescent="0.3">
      <c r="A147" s="4" t="s">
        <v>233</v>
      </c>
      <c r="B147" s="4" t="s">
        <v>174</v>
      </c>
      <c r="C147" s="4">
        <v>10</v>
      </c>
    </row>
    <row r="148" spans="1:3" x14ac:dyDescent="0.3">
      <c r="A148" s="4" t="s">
        <v>233</v>
      </c>
      <c r="B148" s="4" t="s">
        <v>161</v>
      </c>
      <c r="C148" s="4">
        <v>9</v>
      </c>
    </row>
    <row r="149" spans="1:3" x14ac:dyDescent="0.3">
      <c r="A149" s="4" t="s">
        <v>233</v>
      </c>
      <c r="B149" s="4" t="s">
        <v>164</v>
      </c>
      <c r="C149" s="4">
        <v>8</v>
      </c>
    </row>
    <row r="150" spans="1:3" x14ac:dyDescent="0.3">
      <c r="A150" s="4" t="s">
        <v>233</v>
      </c>
      <c r="B150" s="4" t="s">
        <v>163</v>
      </c>
      <c r="C150" s="4">
        <v>7</v>
      </c>
    </row>
    <row r="151" spans="1:3" x14ac:dyDescent="0.3">
      <c r="A151" s="4" t="s">
        <v>233</v>
      </c>
      <c r="B151" s="4" t="s">
        <v>176</v>
      </c>
      <c r="C151" s="4">
        <v>4</v>
      </c>
    </row>
    <row r="152" spans="1:3" x14ac:dyDescent="0.3">
      <c r="A152" s="4" t="s">
        <v>233</v>
      </c>
      <c r="B152" s="4" t="s">
        <v>180</v>
      </c>
      <c r="C152" s="4">
        <v>2</v>
      </c>
    </row>
    <row r="153" spans="1:3" x14ac:dyDescent="0.3">
      <c r="A153" s="4" t="s">
        <v>233</v>
      </c>
      <c r="B153" s="4" t="s">
        <v>194</v>
      </c>
      <c r="C153" s="4">
        <v>2</v>
      </c>
    </row>
    <row r="154" spans="1:3" x14ac:dyDescent="0.3">
      <c r="A154" s="4" t="s">
        <v>233</v>
      </c>
      <c r="B154" s="4" t="s">
        <v>200</v>
      </c>
      <c r="C154" s="4">
        <v>2</v>
      </c>
    </row>
    <row r="155" spans="1:3" x14ac:dyDescent="0.3">
      <c r="A155" s="4" t="s">
        <v>233</v>
      </c>
      <c r="B155" s="4" t="s">
        <v>213</v>
      </c>
      <c r="C155" s="4">
        <v>1</v>
      </c>
    </row>
    <row r="156" spans="1:3" x14ac:dyDescent="0.3">
      <c r="A156" s="4" t="s">
        <v>233</v>
      </c>
      <c r="B156" s="4" t="s">
        <v>230</v>
      </c>
      <c r="C156" s="4">
        <v>1</v>
      </c>
    </row>
    <row r="157" spans="1:3" x14ac:dyDescent="0.3">
      <c r="A157" s="4" t="s">
        <v>233</v>
      </c>
      <c r="B157" s="4" t="s">
        <v>234</v>
      </c>
      <c r="C157" s="4">
        <v>1</v>
      </c>
    </row>
    <row r="158" spans="1:3" x14ac:dyDescent="0.3">
      <c r="A158" s="4" t="s">
        <v>233</v>
      </c>
      <c r="B158" s="4" t="s">
        <v>231</v>
      </c>
      <c r="C158" s="4">
        <v>1</v>
      </c>
    </row>
    <row r="159" spans="1:3" x14ac:dyDescent="0.3">
      <c r="A159" s="4" t="s">
        <v>233</v>
      </c>
      <c r="B159" s="4" t="s">
        <v>232</v>
      </c>
      <c r="C159" s="4">
        <v>1</v>
      </c>
    </row>
    <row r="160" spans="1:3" x14ac:dyDescent="0.3">
      <c r="A160" s="4" t="s">
        <v>233</v>
      </c>
      <c r="B160" s="4" t="s">
        <v>204</v>
      </c>
      <c r="C160" s="4">
        <v>1</v>
      </c>
    </row>
    <row r="161" spans="1:3" x14ac:dyDescent="0.3">
      <c r="A161" s="4" t="s">
        <v>233</v>
      </c>
      <c r="B161" s="4" t="s">
        <v>171</v>
      </c>
      <c r="C161" s="4">
        <v>1</v>
      </c>
    </row>
    <row r="162" spans="1:3" x14ac:dyDescent="0.3">
      <c r="A162" s="4" t="s">
        <v>233</v>
      </c>
      <c r="B162" s="4" t="s">
        <v>235</v>
      </c>
      <c r="C162" s="4">
        <v>1</v>
      </c>
    </row>
    <row r="163" spans="1:3" x14ac:dyDescent="0.3">
      <c r="A163" s="4" t="s">
        <v>233</v>
      </c>
      <c r="B163" s="4" t="s">
        <v>184</v>
      </c>
      <c r="C163" s="4">
        <v>1</v>
      </c>
    </row>
    <row r="164" spans="1:3" x14ac:dyDescent="0.3">
      <c r="A164" s="4" t="s">
        <v>233</v>
      </c>
      <c r="B164" s="4" t="s">
        <v>182</v>
      </c>
      <c r="C164" s="4">
        <v>1</v>
      </c>
    </row>
    <row r="165" spans="1:3" x14ac:dyDescent="0.3">
      <c r="A165" s="4" t="s">
        <v>233</v>
      </c>
      <c r="B165" s="4" t="s">
        <v>220</v>
      </c>
      <c r="C165" s="4">
        <v>1</v>
      </c>
    </row>
    <row r="166" spans="1:3" x14ac:dyDescent="0.3">
      <c r="A166" s="4" t="s">
        <v>233</v>
      </c>
      <c r="B166" s="4" t="s">
        <v>209</v>
      </c>
      <c r="C166" s="4">
        <v>1</v>
      </c>
    </row>
    <row r="167" spans="1:3" x14ac:dyDescent="0.3">
      <c r="A167" s="4" t="s">
        <v>233</v>
      </c>
      <c r="B167" s="4" t="s">
        <v>197</v>
      </c>
      <c r="C167" s="4">
        <v>1</v>
      </c>
    </row>
    <row r="168" spans="1:3" x14ac:dyDescent="0.3">
      <c r="A168" s="4" t="s">
        <v>181</v>
      </c>
      <c r="B168" s="4" t="s">
        <v>158</v>
      </c>
      <c r="C168" s="4">
        <v>52</v>
      </c>
    </row>
    <row r="169" spans="1:3" x14ac:dyDescent="0.3">
      <c r="A169" s="4" t="s">
        <v>181</v>
      </c>
      <c r="B169" s="4" t="s">
        <v>159</v>
      </c>
      <c r="C169" s="4">
        <v>25</v>
      </c>
    </row>
    <row r="170" spans="1:3" x14ac:dyDescent="0.3">
      <c r="A170" s="4" t="s">
        <v>181</v>
      </c>
      <c r="B170" s="4" t="s">
        <v>160</v>
      </c>
      <c r="C170" s="4">
        <v>24</v>
      </c>
    </row>
    <row r="171" spans="1:3" x14ac:dyDescent="0.3">
      <c r="A171" s="4" t="s">
        <v>181</v>
      </c>
      <c r="B171" s="4" t="s">
        <v>164</v>
      </c>
      <c r="C171" s="4">
        <v>17</v>
      </c>
    </row>
    <row r="172" spans="1:3" x14ac:dyDescent="0.3">
      <c r="A172" s="4" t="s">
        <v>181</v>
      </c>
      <c r="B172" s="4" t="s">
        <v>162</v>
      </c>
      <c r="C172" s="4">
        <v>17</v>
      </c>
    </row>
    <row r="173" spans="1:3" x14ac:dyDescent="0.3">
      <c r="A173" s="4" t="s">
        <v>181</v>
      </c>
      <c r="B173" s="4" t="s">
        <v>174</v>
      </c>
      <c r="C173" s="4">
        <v>14</v>
      </c>
    </row>
    <row r="174" spans="1:3" x14ac:dyDescent="0.3">
      <c r="A174" s="4" t="s">
        <v>181</v>
      </c>
      <c r="B174" s="4" t="s">
        <v>161</v>
      </c>
      <c r="C174" s="4">
        <v>14</v>
      </c>
    </row>
    <row r="175" spans="1:3" x14ac:dyDescent="0.3">
      <c r="A175" s="4" t="s">
        <v>181</v>
      </c>
      <c r="B175" s="4" t="s">
        <v>163</v>
      </c>
      <c r="C175" s="4">
        <v>10</v>
      </c>
    </row>
    <row r="176" spans="1:3" x14ac:dyDescent="0.3">
      <c r="A176" s="4" t="s">
        <v>181</v>
      </c>
      <c r="B176" s="4" t="s">
        <v>165</v>
      </c>
      <c r="C176" s="4">
        <v>9</v>
      </c>
    </row>
    <row r="177" spans="1:3" x14ac:dyDescent="0.3">
      <c r="A177" s="4" t="s">
        <v>181</v>
      </c>
      <c r="B177" s="4" t="s">
        <v>176</v>
      </c>
      <c r="C177" s="4">
        <v>6</v>
      </c>
    </row>
    <row r="178" spans="1:3" x14ac:dyDescent="0.3">
      <c r="A178" s="4" t="s">
        <v>181</v>
      </c>
      <c r="B178" s="4" t="s">
        <v>183</v>
      </c>
      <c r="C178" s="4">
        <v>4</v>
      </c>
    </row>
    <row r="179" spans="1:3" x14ac:dyDescent="0.3">
      <c r="A179" s="4" t="s">
        <v>181</v>
      </c>
      <c r="B179" s="4" t="s">
        <v>171</v>
      </c>
      <c r="C179" s="4">
        <v>3</v>
      </c>
    </row>
    <row r="180" spans="1:3" x14ac:dyDescent="0.3">
      <c r="A180" s="4" t="s">
        <v>181</v>
      </c>
      <c r="B180" s="4" t="s">
        <v>236</v>
      </c>
      <c r="C180" s="4">
        <v>2</v>
      </c>
    </row>
    <row r="181" spans="1:3" x14ac:dyDescent="0.3">
      <c r="A181" s="4" t="s">
        <v>181</v>
      </c>
      <c r="B181" s="4" t="s">
        <v>202</v>
      </c>
      <c r="C181" s="4">
        <v>2</v>
      </c>
    </row>
    <row r="182" spans="1:3" x14ac:dyDescent="0.3">
      <c r="A182" s="4" t="s">
        <v>181</v>
      </c>
      <c r="B182" s="4" t="s">
        <v>178</v>
      </c>
      <c r="C182" s="4">
        <v>1</v>
      </c>
    </row>
    <row r="183" spans="1:3" x14ac:dyDescent="0.3">
      <c r="A183" s="4" t="s">
        <v>181</v>
      </c>
      <c r="B183" s="4" t="s">
        <v>237</v>
      </c>
      <c r="C183" s="4">
        <v>1</v>
      </c>
    </row>
    <row r="184" spans="1:3" x14ac:dyDescent="0.3">
      <c r="A184" s="4" t="s">
        <v>181</v>
      </c>
      <c r="B184" s="4" t="s">
        <v>220</v>
      </c>
      <c r="C184" s="4">
        <v>1</v>
      </c>
    </row>
    <row r="185" spans="1:3" x14ac:dyDescent="0.3">
      <c r="A185" s="4" t="s">
        <v>181</v>
      </c>
      <c r="B185" s="4" t="s">
        <v>195</v>
      </c>
      <c r="C185" s="4">
        <v>1</v>
      </c>
    </row>
    <row r="186" spans="1:3" x14ac:dyDescent="0.3">
      <c r="A186" s="4" t="s">
        <v>181</v>
      </c>
      <c r="B186" s="4" t="s">
        <v>192</v>
      </c>
      <c r="C186" s="4">
        <v>1</v>
      </c>
    </row>
    <row r="187" spans="1:3" x14ac:dyDescent="0.3">
      <c r="A187" s="4" t="s">
        <v>181</v>
      </c>
      <c r="B187" s="4" t="s">
        <v>238</v>
      </c>
      <c r="C187" s="4">
        <v>1</v>
      </c>
    </row>
    <row r="188" spans="1:3" x14ac:dyDescent="0.3">
      <c r="A188" s="4" t="s">
        <v>181</v>
      </c>
      <c r="B188" s="4" t="s">
        <v>182</v>
      </c>
      <c r="C188" s="4">
        <v>1</v>
      </c>
    </row>
    <row r="189" spans="1:3" x14ac:dyDescent="0.3">
      <c r="A189" s="4" t="s">
        <v>181</v>
      </c>
      <c r="B189" s="4" t="s">
        <v>239</v>
      </c>
      <c r="C189" s="4">
        <v>1</v>
      </c>
    </row>
    <row r="190" spans="1:3" x14ac:dyDescent="0.3">
      <c r="A190" s="4" t="s">
        <v>181</v>
      </c>
      <c r="B190" s="4" t="s">
        <v>226</v>
      </c>
      <c r="C190" s="4">
        <v>1</v>
      </c>
    </row>
    <row r="191" spans="1:3" x14ac:dyDescent="0.3">
      <c r="A191" s="4" t="s">
        <v>181</v>
      </c>
      <c r="B191" s="4" t="s">
        <v>207</v>
      </c>
      <c r="C191" s="4">
        <v>1</v>
      </c>
    </row>
    <row r="192" spans="1:3" x14ac:dyDescent="0.3">
      <c r="A192" s="4" t="s">
        <v>175</v>
      </c>
      <c r="B192" s="4" t="s">
        <v>158</v>
      </c>
      <c r="C192" s="4">
        <v>57</v>
      </c>
    </row>
    <row r="193" spans="1:3" x14ac:dyDescent="0.3">
      <c r="A193" s="4" t="s">
        <v>175</v>
      </c>
      <c r="B193" s="4" t="s">
        <v>161</v>
      </c>
      <c r="C193" s="4">
        <v>26</v>
      </c>
    </row>
    <row r="194" spans="1:3" x14ac:dyDescent="0.3">
      <c r="A194" s="4" t="s">
        <v>175</v>
      </c>
      <c r="B194" s="4" t="s">
        <v>162</v>
      </c>
      <c r="C194" s="4">
        <v>22</v>
      </c>
    </row>
    <row r="195" spans="1:3" x14ac:dyDescent="0.3">
      <c r="A195" s="4" t="s">
        <v>175</v>
      </c>
      <c r="B195" s="4" t="s">
        <v>159</v>
      </c>
      <c r="C195" s="4">
        <v>19</v>
      </c>
    </row>
    <row r="196" spans="1:3" x14ac:dyDescent="0.3">
      <c r="A196" s="4" t="s">
        <v>175</v>
      </c>
      <c r="B196" s="4" t="s">
        <v>160</v>
      </c>
      <c r="C196" s="4">
        <v>18</v>
      </c>
    </row>
    <row r="197" spans="1:3" x14ac:dyDescent="0.3">
      <c r="A197" s="4" t="s">
        <v>175</v>
      </c>
      <c r="B197" s="4" t="s">
        <v>164</v>
      </c>
      <c r="C197" s="4">
        <v>16</v>
      </c>
    </row>
    <row r="198" spans="1:3" x14ac:dyDescent="0.3">
      <c r="A198" s="4" t="s">
        <v>175</v>
      </c>
      <c r="B198" s="4" t="s">
        <v>176</v>
      </c>
      <c r="C198" s="4">
        <v>16</v>
      </c>
    </row>
    <row r="199" spans="1:3" x14ac:dyDescent="0.3">
      <c r="A199" s="4" t="s">
        <v>175</v>
      </c>
      <c r="B199" s="4" t="s">
        <v>174</v>
      </c>
      <c r="C199" s="4">
        <v>14</v>
      </c>
    </row>
    <row r="200" spans="1:3" x14ac:dyDescent="0.3">
      <c r="A200" s="4" t="s">
        <v>175</v>
      </c>
      <c r="B200" s="4" t="s">
        <v>163</v>
      </c>
      <c r="C200" s="4">
        <v>12</v>
      </c>
    </row>
    <row r="201" spans="1:3" x14ac:dyDescent="0.3">
      <c r="A201" s="4" t="s">
        <v>175</v>
      </c>
      <c r="B201" s="4" t="s">
        <v>165</v>
      </c>
      <c r="C201" s="4">
        <v>8</v>
      </c>
    </row>
    <row r="202" spans="1:3" x14ac:dyDescent="0.3">
      <c r="A202" s="4" t="s">
        <v>175</v>
      </c>
      <c r="B202" s="4" t="s">
        <v>180</v>
      </c>
      <c r="C202" s="4">
        <v>6</v>
      </c>
    </row>
    <row r="203" spans="1:3" x14ac:dyDescent="0.3">
      <c r="A203" s="4" t="s">
        <v>175</v>
      </c>
      <c r="B203" s="4" t="s">
        <v>171</v>
      </c>
      <c r="C203" s="4">
        <v>4</v>
      </c>
    </row>
    <row r="204" spans="1:3" x14ac:dyDescent="0.3">
      <c r="A204" s="4" t="s">
        <v>175</v>
      </c>
      <c r="B204" s="4" t="s">
        <v>182</v>
      </c>
      <c r="C204" s="4">
        <v>3</v>
      </c>
    </row>
    <row r="205" spans="1:3" x14ac:dyDescent="0.3">
      <c r="A205" s="4" t="s">
        <v>175</v>
      </c>
      <c r="B205" s="4" t="s">
        <v>183</v>
      </c>
      <c r="C205" s="4">
        <v>2</v>
      </c>
    </row>
    <row r="206" spans="1:3" x14ac:dyDescent="0.3">
      <c r="A206" s="4" t="s">
        <v>175</v>
      </c>
      <c r="B206" s="4" t="s">
        <v>195</v>
      </c>
      <c r="C206" s="4">
        <v>2</v>
      </c>
    </row>
    <row r="207" spans="1:3" x14ac:dyDescent="0.3">
      <c r="A207" s="4" t="s">
        <v>175</v>
      </c>
      <c r="B207" s="4" t="s">
        <v>197</v>
      </c>
      <c r="C207" s="4">
        <v>2</v>
      </c>
    </row>
    <row r="208" spans="1:3" x14ac:dyDescent="0.3">
      <c r="A208" s="4" t="s">
        <v>175</v>
      </c>
      <c r="B208" s="4" t="s">
        <v>220</v>
      </c>
      <c r="C208" s="4">
        <v>2</v>
      </c>
    </row>
    <row r="209" spans="1:3" x14ac:dyDescent="0.3">
      <c r="A209" s="4" t="s">
        <v>175</v>
      </c>
      <c r="B209" s="4" t="s">
        <v>178</v>
      </c>
      <c r="C209" s="4">
        <v>1</v>
      </c>
    </row>
    <row r="210" spans="1:3" x14ac:dyDescent="0.3">
      <c r="A210" s="4" t="s">
        <v>175</v>
      </c>
      <c r="B210" s="4" t="s">
        <v>209</v>
      </c>
      <c r="C210" s="4">
        <v>1</v>
      </c>
    </row>
    <row r="211" spans="1:3" x14ac:dyDescent="0.3">
      <c r="A211" s="4" t="s">
        <v>175</v>
      </c>
      <c r="B211" s="4" t="s">
        <v>208</v>
      </c>
      <c r="C211" s="4">
        <v>1</v>
      </c>
    </row>
    <row r="212" spans="1:3" x14ac:dyDescent="0.3">
      <c r="A212" s="4" t="s">
        <v>175</v>
      </c>
      <c r="B212" s="4" t="s">
        <v>204</v>
      </c>
      <c r="C212" s="4">
        <v>1</v>
      </c>
    </row>
    <row r="213" spans="1:3" x14ac:dyDescent="0.3">
      <c r="A213" s="4" t="s">
        <v>175</v>
      </c>
      <c r="B213" s="4" t="s">
        <v>215</v>
      </c>
      <c r="C213" s="4">
        <v>1</v>
      </c>
    </row>
    <row r="214" spans="1:3" x14ac:dyDescent="0.3">
      <c r="A214" s="4" t="s">
        <v>175</v>
      </c>
      <c r="B214" s="4" t="s">
        <v>207</v>
      </c>
      <c r="C214" s="4">
        <v>1</v>
      </c>
    </row>
    <row r="215" spans="1:3" x14ac:dyDescent="0.3">
      <c r="A215" s="4" t="s">
        <v>175</v>
      </c>
      <c r="B215" s="4" t="s">
        <v>191</v>
      </c>
      <c r="C215" s="4">
        <v>1</v>
      </c>
    </row>
    <row r="216" spans="1:3" x14ac:dyDescent="0.3">
      <c r="A216" s="4" t="s">
        <v>175</v>
      </c>
      <c r="B216" s="4" t="s">
        <v>194</v>
      </c>
      <c r="C216" s="4">
        <v>1</v>
      </c>
    </row>
    <row r="217" spans="1:3" x14ac:dyDescent="0.3">
      <c r="A217" s="4" t="s">
        <v>175</v>
      </c>
      <c r="B217" s="4" t="s">
        <v>230</v>
      </c>
      <c r="C217" s="4">
        <v>1</v>
      </c>
    </row>
    <row r="218" spans="1:3" x14ac:dyDescent="0.3">
      <c r="A218" s="4" t="s">
        <v>175</v>
      </c>
      <c r="B218" s="4" t="s">
        <v>211</v>
      </c>
      <c r="C218" s="4">
        <v>1</v>
      </c>
    </row>
    <row r="219" spans="1:3" x14ac:dyDescent="0.3">
      <c r="A219" s="4" t="s">
        <v>175</v>
      </c>
      <c r="B219" s="4" t="s">
        <v>193</v>
      </c>
      <c r="C219" s="4">
        <v>1</v>
      </c>
    </row>
    <row r="220" spans="1:3" x14ac:dyDescent="0.3">
      <c r="A220" s="4" t="s">
        <v>175</v>
      </c>
      <c r="B220" s="4" t="s">
        <v>200</v>
      </c>
      <c r="C220" s="4">
        <v>1</v>
      </c>
    </row>
    <row r="221" spans="1:3" x14ac:dyDescent="0.3">
      <c r="A221" s="4" t="s">
        <v>175</v>
      </c>
      <c r="B221" s="4" t="s">
        <v>202</v>
      </c>
      <c r="C221" s="4">
        <v>1</v>
      </c>
    </row>
    <row r="222" spans="1:3" x14ac:dyDescent="0.3">
      <c r="A222" s="4" t="s">
        <v>175</v>
      </c>
      <c r="B222" s="4" t="s">
        <v>232</v>
      </c>
      <c r="C222" s="4">
        <v>1</v>
      </c>
    </row>
    <row r="223" spans="1:3" x14ac:dyDescent="0.3">
      <c r="A223" s="4" t="s">
        <v>175</v>
      </c>
      <c r="B223" s="4" t="s">
        <v>234</v>
      </c>
      <c r="C223" s="4">
        <v>1</v>
      </c>
    </row>
    <row r="224" spans="1:3" x14ac:dyDescent="0.3">
      <c r="A224" s="4" t="s">
        <v>175</v>
      </c>
      <c r="B224" s="4" t="s">
        <v>240</v>
      </c>
      <c r="C224" s="4">
        <v>1</v>
      </c>
    </row>
    <row r="225" spans="1:3" x14ac:dyDescent="0.3">
      <c r="A225" s="4" t="s">
        <v>241</v>
      </c>
      <c r="B225" s="4" t="s">
        <v>158</v>
      </c>
      <c r="C225" s="4">
        <v>32</v>
      </c>
    </row>
    <row r="226" spans="1:3" x14ac:dyDescent="0.3">
      <c r="A226" s="4" t="s">
        <v>241</v>
      </c>
      <c r="B226" s="4" t="s">
        <v>159</v>
      </c>
      <c r="C226" s="4">
        <v>17</v>
      </c>
    </row>
    <row r="227" spans="1:3" x14ac:dyDescent="0.3">
      <c r="A227" s="4" t="s">
        <v>241</v>
      </c>
      <c r="B227" s="4" t="s">
        <v>160</v>
      </c>
      <c r="C227" s="4">
        <v>16</v>
      </c>
    </row>
    <row r="228" spans="1:3" x14ac:dyDescent="0.3">
      <c r="A228" s="4" t="s">
        <v>241</v>
      </c>
      <c r="B228" s="4" t="s">
        <v>164</v>
      </c>
      <c r="C228" s="4">
        <v>13</v>
      </c>
    </row>
    <row r="229" spans="1:3" x14ac:dyDescent="0.3">
      <c r="A229" s="4" t="s">
        <v>241</v>
      </c>
      <c r="B229" s="4" t="s">
        <v>161</v>
      </c>
      <c r="C229" s="4">
        <v>12</v>
      </c>
    </row>
    <row r="230" spans="1:3" x14ac:dyDescent="0.3">
      <c r="A230" s="4" t="s">
        <v>241</v>
      </c>
      <c r="B230" s="4" t="s">
        <v>165</v>
      </c>
      <c r="C230" s="4">
        <v>10</v>
      </c>
    </row>
    <row r="231" spans="1:3" x14ac:dyDescent="0.3">
      <c r="A231" s="4" t="s">
        <v>241</v>
      </c>
      <c r="B231" s="4" t="s">
        <v>163</v>
      </c>
      <c r="C231" s="4">
        <v>10</v>
      </c>
    </row>
    <row r="232" spans="1:3" x14ac:dyDescent="0.3">
      <c r="A232" s="4" t="s">
        <v>241</v>
      </c>
      <c r="B232" s="4" t="s">
        <v>162</v>
      </c>
      <c r="C232" s="4">
        <v>8</v>
      </c>
    </row>
    <row r="233" spans="1:3" x14ac:dyDescent="0.3">
      <c r="A233" s="4" t="s">
        <v>241</v>
      </c>
      <c r="B233" s="4" t="s">
        <v>174</v>
      </c>
      <c r="C233" s="4">
        <v>6</v>
      </c>
    </row>
    <row r="234" spans="1:3" x14ac:dyDescent="0.3">
      <c r="A234" s="4" t="s">
        <v>241</v>
      </c>
      <c r="B234" s="4" t="s">
        <v>171</v>
      </c>
      <c r="C234" s="4">
        <v>5</v>
      </c>
    </row>
    <row r="235" spans="1:3" x14ac:dyDescent="0.3">
      <c r="A235" s="4" t="s">
        <v>241</v>
      </c>
      <c r="B235" s="4" t="s">
        <v>176</v>
      </c>
      <c r="C235" s="4">
        <v>4</v>
      </c>
    </row>
    <row r="236" spans="1:3" x14ac:dyDescent="0.3">
      <c r="A236" s="4" t="s">
        <v>241</v>
      </c>
      <c r="B236" s="4" t="s">
        <v>194</v>
      </c>
      <c r="C236" s="4">
        <v>4</v>
      </c>
    </row>
    <row r="237" spans="1:3" x14ac:dyDescent="0.3">
      <c r="A237" s="4" t="s">
        <v>241</v>
      </c>
      <c r="B237" s="4" t="s">
        <v>183</v>
      </c>
      <c r="C237" s="4">
        <v>2</v>
      </c>
    </row>
    <row r="238" spans="1:3" x14ac:dyDescent="0.3">
      <c r="A238" s="4" t="s">
        <v>241</v>
      </c>
      <c r="B238" s="4" t="s">
        <v>204</v>
      </c>
      <c r="C238" s="4">
        <v>1</v>
      </c>
    </row>
    <row r="239" spans="1:3" x14ac:dyDescent="0.3">
      <c r="A239" s="4" t="s">
        <v>241</v>
      </c>
      <c r="B239" s="4" t="s">
        <v>180</v>
      </c>
      <c r="C239" s="4">
        <v>1</v>
      </c>
    </row>
    <row r="240" spans="1:3" x14ac:dyDescent="0.3">
      <c r="A240" s="4" t="s">
        <v>241</v>
      </c>
      <c r="B240" s="4" t="s">
        <v>195</v>
      </c>
      <c r="C240" s="4">
        <v>1</v>
      </c>
    </row>
    <row r="241" spans="1:3" x14ac:dyDescent="0.3">
      <c r="A241" s="4" t="s">
        <v>241</v>
      </c>
      <c r="B241" s="4" t="s">
        <v>200</v>
      </c>
      <c r="C241" s="4">
        <v>1</v>
      </c>
    </row>
    <row r="242" spans="1:3" x14ac:dyDescent="0.3">
      <c r="A242" s="4" t="s">
        <v>241</v>
      </c>
      <c r="B242" s="4" t="s">
        <v>184</v>
      </c>
      <c r="C242" s="4">
        <v>1</v>
      </c>
    </row>
    <row r="243" spans="1:3" x14ac:dyDescent="0.3">
      <c r="A243" s="4" t="s">
        <v>173</v>
      </c>
      <c r="B243" s="4" t="s">
        <v>158</v>
      </c>
      <c r="C243" s="4">
        <v>94</v>
      </c>
    </row>
    <row r="244" spans="1:3" x14ac:dyDescent="0.3">
      <c r="A244" s="4" t="s">
        <v>173</v>
      </c>
      <c r="B244" s="4" t="s">
        <v>176</v>
      </c>
      <c r="C244" s="4">
        <v>30</v>
      </c>
    </row>
    <row r="245" spans="1:3" x14ac:dyDescent="0.3">
      <c r="A245" s="4" t="s">
        <v>173</v>
      </c>
      <c r="B245" s="4" t="s">
        <v>160</v>
      </c>
      <c r="C245" s="4">
        <v>21</v>
      </c>
    </row>
    <row r="246" spans="1:3" x14ac:dyDescent="0.3">
      <c r="A246" s="4" t="s">
        <v>173</v>
      </c>
      <c r="B246" s="4" t="s">
        <v>171</v>
      </c>
      <c r="C246" s="4">
        <v>19</v>
      </c>
    </row>
    <row r="247" spans="1:3" x14ac:dyDescent="0.3">
      <c r="A247" s="4" t="s">
        <v>173</v>
      </c>
      <c r="B247" s="4" t="s">
        <v>184</v>
      </c>
      <c r="C247" s="4">
        <v>18</v>
      </c>
    </row>
    <row r="248" spans="1:3" x14ac:dyDescent="0.3">
      <c r="A248" s="4" t="s">
        <v>173</v>
      </c>
      <c r="B248" s="4" t="s">
        <v>159</v>
      </c>
      <c r="C248" s="4">
        <v>17</v>
      </c>
    </row>
    <row r="249" spans="1:3" x14ac:dyDescent="0.3">
      <c r="A249" s="4" t="s">
        <v>173</v>
      </c>
      <c r="B249" s="4" t="s">
        <v>163</v>
      </c>
      <c r="C249" s="4">
        <v>15</v>
      </c>
    </row>
    <row r="250" spans="1:3" x14ac:dyDescent="0.3">
      <c r="A250" s="4" t="s">
        <v>173</v>
      </c>
      <c r="B250" s="4" t="s">
        <v>194</v>
      </c>
      <c r="C250" s="4">
        <v>15</v>
      </c>
    </row>
    <row r="251" spans="1:3" x14ac:dyDescent="0.3">
      <c r="A251" s="4" t="s">
        <v>173</v>
      </c>
      <c r="B251" s="4" t="s">
        <v>162</v>
      </c>
      <c r="C251" s="4">
        <v>14</v>
      </c>
    </row>
    <row r="252" spans="1:3" x14ac:dyDescent="0.3">
      <c r="A252" s="4" t="s">
        <v>173</v>
      </c>
      <c r="B252" s="4" t="s">
        <v>161</v>
      </c>
      <c r="C252" s="4">
        <v>13</v>
      </c>
    </row>
    <row r="253" spans="1:3" x14ac:dyDescent="0.3">
      <c r="A253" s="4" t="s">
        <v>173</v>
      </c>
      <c r="B253" s="4" t="s">
        <v>164</v>
      </c>
      <c r="C253" s="4">
        <v>10</v>
      </c>
    </row>
    <row r="254" spans="1:3" x14ac:dyDescent="0.3">
      <c r="A254" s="4" t="s">
        <v>173</v>
      </c>
      <c r="B254" s="4" t="s">
        <v>165</v>
      </c>
      <c r="C254" s="4">
        <v>6</v>
      </c>
    </row>
    <row r="255" spans="1:3" x14ac:dyDescent="0.3">
      <c r="A255" s="4" t="s">
        <v>173</v>
      </c>
      <c r="B255" s="4" t="s">
        <v>174</v>
      </c>
      <c r="C255" s="4">
        <v>5</v>
      </c>
    </row>
    <row r="256" spans="1:3" x14ac:dyDescent="0.3">
      <c r="A256" s="4" t="s">
        <v>173</v>
      </c>
      <c r="B256" s="4" t="s">
        <v>182</v>
      </c>
      <c r="C256" s="4">
        <v>4</v>
      </c>
    </row>
    <row r="257" spans="1:3" x14ac:dyDescent="0.3">
      <c r="A257" s="4" t="s">
        <v>173</v>
      </c>
      <c r="B257" s="4" t="s">
        <v>180</v>
      </c>
      <c r="C257" s="4">
        <v>3</v>
      </c>
    </row>
    <row r="258" spans="1:3" x14ac:dyDescent="0.3">
      <c r="A258" s="4" t="s">
        <v>173</v>
      </c>
      <c r="B258" s="4" t="s">
        <v>242</v>
      </c>
      <c r="C258" s="4">
        <v>2</v>
      </c>
    </row>
    <row r="259" spans="1:3" x14ac:dyDescent="0.3">
      <c r="A259" s="4" t="s">
        <v>173</v>
      </c>
      <c r="B259" s="4" t="s">
        <v>178</v>
      </c>
      <c r="C259" s="4">
        <v>2</v>
      </c>
    </row>
    <row r="260" spans="1:3" x14ac:dyDescent="0.3">
      <c r="A260" s="4" t="s">
        <v>173</v>
      </c>
      <c r="B260" s="4" t="s">
        <v>243</v>
      </c>
      <c r="C260" s="4">
        <v>1</v>
      </c>
    </row>
    <row r="261" spans="1:3" x14ac:dyDescent="0.3">
      <c r="A261" s="4" t="s">
        <v>173</v>
      </c>
      <c r="B261" s="4" t="s">
        <v>244</v>
      </c>
      <c r="C261" s="4">
        <v>1</v>
      </c>
    </row>
    <row r="262" spans="1:3" x14ac:dyDescent="0.3">
      <c r="A262" s="4" t="s">
        <v>173</v>
      </c>
      <c r="B262" s="4" t="s">
        <v>245</v>
      </c>
      <c r="C262" s="4">
        <v>1</v>
      </c>
    </row>
    <row r="263" spans="1:3" x14ac:dyDescent="0.3">
      <c r="A263" s="4" t="s">
        <v>173</v>
      </c>
      <c r="B263" s="4" t="s">
        <v>246</v>
      </c>
      <c r="C263" s="4">
        <v>1</v>
      </c>
    </row>
    <row r="264" spans="1:3" x14ac:dyDescent="0.3">
      <c r="A264" s="4" t="s">
        <v>173</v>
      </c>
      <c r="B264" s="4" t="s">
        <v>238</v>
      </c>
      <c r="C264" s="4">
        <v>1</v>
      </c>
    </row>
    <row r="265" spans="1:3" x14ac:dyDescent="0.3">
      <c r="A265" s="4" t="s">
        <v>173</v>
      </c>
      <c r="B265" s="4" t="s">
        <v>247</v>
      </c>
      <c r="C265" s="4">
        <v>1</v>
      </c>
    </row>
    <row r="266" spans="1:3" x14ac:dyDescent="0.3">
      <c r="A266" s="4" t="s">
        <v>173</v>
      </c>
      <c r="B266" s="4" t="s">
        <v>205</v>
      </c>
      <c r="C266" s="4">
        <v>1</v>
      </c>
    </row>
    <row r="267" spans="1:3" x14ac:dyDescent="0.3">
      <c r="A267" s="4" t="s">
        <v>173</v>
      </c>
      <c r="B267" s="4" t="s">
        <v>221</v>
      </c>
      <c r="C267" s="4">
        <v>1</v>
      </c>
    </row>
    <row r="268" spans="1:3" x14ac:dyDescent="0.3">
      <c r="A268" s="4" t="s">
        <v>173</v>
      </c>
      <c r="B268" s="4" t="s">
        <v>232</v>
      </c>
      <c r="C268" s="4">
        <v>1</v>
      </c>
    </row>
    <row r="269" spans="1:3" x14ac:dyDescent="0.3">
      <c r="A269" s="4" t="s">
        <v>173</v>
      </c>
      <c r="B269" s="4" t="s">
        <v>248</v>
      </c>
      <c r="C269" s="4">
        <v>1</v>
      </c>
    </row>
    <row r="270" spans="1:3" x14ac:dyDescent="0.3">
      <c r="A270" s="4" t="s">
        <v>173</v>
      </c>
      <c r="B270" s="4" t="s">
        <v>249</v>
      </c>
      <c r="C270" s="4">
        <v>1</v>
      </c>
    </row>
    <row r="271" spans="1:3" x14ac:dyDescent="0.3">
      <c r="A271" s="4" t="s">
        <v>173</v>
      </c>
      <c r="B271" s="4" t="s">
        <v>250</v>
      </c>
      <c r="C271" s="4">
        <v>1</v>
      </c>
    </row>
    <row r="272" spans="1:3" x14ac:dyDescent="0.3">
      <c r="A272" s="4" t="s">
        <v>173</v>
      </c>
      <c r="B272" s="4" t="s">
        <v>186</v>
      </c>
      <c r="C272" s="4">
        <v>1</v>
      </c>
    </row>
    <row r="273" spans="1:3" x14ac:dyDescent="0.3">
      <c r="A273" s="4" t="s">
        <v>173</v>
      </c>
      <c r="B273" s="4" t="s">
        <v>213</v>
      </c>
      <c r="C273" s="4">
        <v>1</v>
      </c>
    </row>
    <row r="274" spans="1:3" x14ac:dyDescent="0.3">
      <c r="A274" s="4" t="s">
        <v>173</v>
      </c>
      <c r="B274" s="4" t="s">
        <v>195</v>
      </c>
      <c r="C274" s="4">
        <v>1</v>
      </c>
    </row>
    <row r="275" spans="1:3" x14ac:dyDescent="0.3">
      <c r="A275" s="4" t="s">
        <v>173</v>
      </c>
      <c r="B275" s="4" t="s">
        <v>192</v>
      </c>
      <c r="C275" s="4">
        <v>1</v>
      </c>
    </row>
    <row r="276" spans="1:3" x14ac:dyDescent="0.3">
      <c r="A276" s="4" t="s">
        <v>173</v>
      </c>
      <c r="B276" s="4" t="s">
        <v>251</v>
      </c>
      <c r="C276" s="4">
        <v>1</v>
      </c>
    </row>
    <row r="277" spans="1:3" x14ac:dyDescent="0.3">
      <c r="A277" s="4" t="s">
        <v>173</v>
      </c>
      <c r="B277" s="4" t="s">
        <v>183</v>
      </c>
      <c r="C277" s="4">
        <v>1</v>
      </c>
    </row>
    <row r="278" spans="1:3" x14ac:dyDescent="0.3">
      <c r="A278" s="4" t="s">
        <v>167</v>
      </c>
      <c r="B278" s="4" t="s">
        <v>158</v>
      </c>
      <c r="C278" s="4">
        <v>186</v>
      </c>
    </row>
    <row r="279" spans="1:3" x14ac:dyDescent="0.3">
      <c r="A279" s="4" t="s">
        <v>167</v>
      </c>
      <c r="B279" s="4" t="s">
        <v>161</v>
      </c>
      <c r="C279" s="4">
        <v>98</v>
      </c>
    </row>
    <row r="280" spans="1:3" x14ac:dyDescent="0.3">
      <c r="A280" s="4" t="s">
        <v>167</v>
      </c>
      <c r="B280" s="4" t="s">
        <v>160</v>
      </c>
      <c r="C280" s="4">
        <v>90</v>
      </c>
    </row>
    <row r="281" spans="1:3" x14ac:dyDescent="0.3">
      <c r="A281" s="4" t="s">
        <v>167</v>
      </c>
      <c r="B281" s="4" t="s">
        <v>159</v>
      </c>
      <c r="C281" s="4">
        <v>78</v>
      </c>
    </row>
    <row r="282" spans="1:3" x14ac:dyDescent="0.3">
      <c r="A282" s="4" t="s">
        <v>167</v>
      </c>
      <c r="B282" s="4" t="s">
        <v>163</v>
      </c>
      <c r="C282" s="4">
        <v>72</v>
      </c>
    </row>
    <row r="283" spans="1:3" x14ac:dyDescent="0.3">
      <c r="A283" s="4" t="s">
        <v>167</v>
      </c>
      <c r="B283" s="4" t="s">
        <v>162</v>
      </c>
      <c r="C283" s="4">
        <v>66</v>
      </c>
    </row>
    <row r="284" spans="1:3" x14ac:dyDescent="0.3">
      <c r="A284" s="4" t="s">
        <v>167</v>
      </c>
      <c r="B284" s="4" t="s">
        <v>174</v>
      </c>
      <c r="C284" s="4">
        <v>58</v>
      </c>
    </row>
    <row r="285" spans="1:3" x14ac:dyDescent="0.3">
      <c r="A285" s="4" t="s">
        <v>167</v>
      </c>
      <c r="B285" s="4" t="s">
        <v>164</v>
      </c>
      <c r="C285" s="4">
        <v>47</v>
      </c>
    </row>
    <row r="286" spans="1:3" x14ac:dyDescent="0.3">
      <c r="A286" s="4" t="s">
        <v>167</v>
      </c>
      <c r="B286" s="4" t="s">
        <v>165</v>
      </c>
      <c r="C286" s="4">
        <v>46</v>
      </c>
    </row>
    <row r="287" spans="1:3" x14ac:dyDescent="0.3">
      <c r="A287" s="4" t="s">
        <v>167</v>
      </c>
      <c r="B287" s="4" t="s">
        <v>176</v>
      </c>
      <c r="C287" s="4">
        <v>29</v>
      </c>
    </row>
    <row r="288" spans="1:3" x14ac:dyDescent="0.3">
      <c r="A288" s="4" t="s">
        <v>167</v>
      </c>
      <c r="B288" s="4" t="s">
        <v>171</v>
      </c>
      <c r="C288" s="4">
        <v>7</v>
      </c>
    </row>
    <row r="289" spans="1:3" x14ac:dyDescent="0.3">
      <c r="A289" s="4" t="s">
        <v>167</v>
      </c>
      <c r="B289" s="4" t="s">
        <v>183</v>
      </c>
      <c r="C289" s="4">
        <v>6</v>
      </c>
    </row>
    <row r="290" spans="1:3" x14ac:dyDescent="0.3">
      <c r="A290" s="4" t="s">
        <v>167</v>
      </c>
      <c r="B290" s="4" t="s">
        <v>180</v>
      </c>
      <c r="C290" s="4">
        <v>5</v>
      </c>
    </row>
    <row r="291" spans="1:3" x14ac:dyDescent="0.3">
      <c r="A291" s="4" t="s">
        <v>167</v>
      </c>
      <c r="B291" s="4" t="s">
        <v>252</v>
      </c>
      <c r="C291" s="4">
        <v>4</v>
      </c>
    </row>
    <row r="292" spans="1:3" x14ac:dyDescent="0.3">
      <c r="A292" s="4" t="s">
        <v>167</v>
      </c>
      <c r="B292" s="4" t="s">
        <v>204</v>
      </c>
      <c r="C292" s="4">
        <v>3</v>
      </c>
    </row>
    <row r="293" spans="1:3" x14ac:dyDescent="0.3">
      <c r="A293" s="4" t="s">
        <v>167</v>
      </c>
      <c r="B293" s="4" t="s">
        <v>178</v>
      </c>
      <c r="C293" s="4">
        <v>2</v>
      </c>
    </row>
    <row r="294" spans="1:3" x14ac:dyDescent="0.3">
      <c r="A294" s="4" t="s">
        <v>167</v>
      </c>
      <c r="B294" s="4" t="s">
        <v>253</v>
      </c>
      <c r="C294" s="4">
        <v>2</v>
      </c>
    </row>
    <row r="295" spans="1:3" x14ac:dyDescent="0.3">
      <c r="A295" s="4" t="s">
        <v>167</v>
      </c>
      <c r="B295" s="4" t="s">
        <v>184</v>
      </c>
      <c r="C295" s="4">
        <v>2</v>
      </c>
    </row>
    <row r="296" spans="1:3" x14ac:dyDescent="0.3">
      <c r="A296" s="4" t="s">
        <v>167</v>
      </c>
      <c r="B296" s="4" t="s">
        <v>202</v>
      </c>
      <c r="C296" s="4">
        <v>2</v>
      </c>
    </row>
    <row r="297" spans="1:3" x14ac:dyDescent="0.3">
      <c r="A297" s="4" t="s">
        <v>167</v>
      </c>
      <c r="B297" s="4" t="s">
        <v>200</v>
      </c>
      <c r="C297" s="4">
        <v>2</v>
      </c>
    </row>
    <row r="298" spans="1:3" x14ac:dyDescent="0.3">
      <c r="A298" s="4" t="s">
        <v>167</v>
      </c>
      <c r="B298" s="4" t="s">
        <v>254</v>
      </c>
      <c r="C298" s="4">
        <v>1</v>
      </c>
    </row>
    <row r="299" spans="1:3" x14ac:dyDescent="0.3">
      <c r="A299" s="4" t="s">
        <v>167</v>
      </c>
      <c r="B299" s="4" t="s">
        <v>236</v>
      </c>
      <c r="C299" s="4">
        <v>1</v>
      </c>
    </row>
    <row r="300" spans="1:3" x14ac:dyDescent="0.3">
      <c r="A300" s="4" t="s">
        <v>167</v>
      </c>
      <c r="B300" s="4" t="s">
        <v>255</v>
      </c>
      <c r="C300" s="4">
        <v>1</v>
      </c>
    </row>
    <row r="301" spans="1:3" x14ac:dyDescent="0.3">
      <c r="A301" s="4" t="s">
        <v>167</v>
      </c>
      <c r="B301" s="4" t="s">
        <v>212</v>
      </c>
      <c r="C301" s="4">
        <v>1</v>
      </c>
    </row>
    <row r="302" spans="1:3" x14ac:dyDescent="0.3">
      <c r="A302" s="4" t="s">
        <v>167</v>
      </c>
      <c r="B302" s="4" t="s">
        <v>238</v>
      </c>
      <c r="C302" s="4">
        <v>1</v>
      </c>
    </row>
    <row r="303" spans="1:3" x14ac:dyDescent="0.3">
      <c r="A303" s="4" t="s">
        <v>167</v>
      </c>
      <c r="B303" s="4" t="s">
        <v>192</v>
      </c>
      <c r="C303" s="4">
        <v>1</v>
      </c>
    </row>
    <row r="304" spans="1:3" x14ac:dyDescent="0.3">
      <c r="A304" s="4" t="s">
        <v>167</v>
      </c>
      <c r="B304" s="4" t="s">
        <v>226</v>
      </c>
      <c r="C304" s="4">
        <v>1</v>
      </c>
    </row>
    <row r="305" spans="1:3" x14ac:dyDescent="0.3">
      <c r="A305" s="4" t="s">
        <v>167</v>
      </c>
      <c r="B305" s="4" t="s">
        <v>208</v>
      </c>
      <c r="C305" s="4">
        <v>1</v>
      </c>
    </row>
    <row r="306" spans="1:3" x14ac:dyDescent="0.3">
      <c r="A306" s="4" t="s">
        <v>167</v>
      </c>
      <c r="B306" s="4" t="s">
        <v>256</v>
      </c>
      <c r="C306" s="4">
        <v>1</v>
      </c>
    </row>
    <row r="307" spans="1:3" x14ac:dyDescent="0.3">
      <c r="A307" s="4" t="s">
        <v>167</v>
      </c>
      <c r="B307" s="4" t="s">
        <v>247</v>
      </c>
      <c r="C307" s="4">
        <v>1</v>
      </c>
    </row>
    <row r="308" spans="1:3" x14ac:dyDescent="0.3">
      <c r="A308" s="4" t="s">
        <v>167</v>
      </c>
      <c r="B308" s="4" t="s">
        <v>187</v>
      </c>
      <c r="C308" s="4">
        <v>1</v>
      </c>
    </row>
    <row r="309" spans="1:3" x14ac:dyDescent="0.3">
      <c r="A309" s="4" t="s">
        <v>167</v>
      </c>
      <c r="B309" s="4" t="s">
        <v>257</v>
      </c>
      <c r="C309" s="4">
        <v>1</v>
      </c>
    </row>
    <row r="310" spans="1:3" x14ac:dyDescent="0.3">
      <c r="A310" s="4" t="s">
        <v>167</v>
      </c>
      <c r="B310" s="4" t="s">
        <v>223</v>
      </c>
      <c r="C310" s="4">
        <v>1</v>
      </c>
    </row>
    <row r="311" spans="1:3" x14ac:dyDescent="0.3">
      <c r="A311" s="4" t="s">
        <v>167</v>
      </c>
      <c r="B311" s="4" t="s">
        <v>258</v>
      </c>
      <c r="C311" s="4">
        <v>1</v>
      </c>
    </row>
    <row r="312" spans="1:3" x14ac:dyDescent="0.3">
      <c r="A312" s="4" t="s">
        <v>167</v>
      </c>
      <c r="B312" s="4" t="s">
        <v>259</v>
      </c>
      <c r="C312" s="4">
        <v>1</v>
      </c>
    </row>
    <row r="313" spans="1:3" x14ac:dyDescent="0.3">
      <c r="A313" s="4" t="s">
        <v>167</v>
      </c>
      <c r="B313" s="4" t="s">
        <v>260</v>
      </c>
      <c r="C313" s="4">
        <v>1</v>
      </c>
    </row>
    <row r="314" spans="1:3" x14ac:dyDescent="0.3">
      <c r="A314" s="4" t="s">
        <v>167</v>
      </c>
      <c r="B314" s="4" t="s">
        <v>240</v>
      </c>
      <c r="C314" s="4">
        <v>1</v>
      </c>
    </row>
    <row r="315" spans="1:3" x14ac:dyDescent="0.3">
      <c r="A315" s="4" t="s">
        <v>167</v>
      </c>
      <c r="B315" s="4" t="s">
        <v>230</v>
      </c>
      <c r="C315" s="4">
        <v>1</v>
      </c>
    </row>
    <row r="316" spans="1:3" x14ac:dyDescent="0.3">
      <c r="A316" s="4" t="s">
        <v>167</v>
      </c>
      <c r="B316" s="4" t="s">
        <v>193</v>
      </c>
      <c r="C316" s="4">
        <v>1</v>
      </c>
    </row>
    <row r="317" spans="1:3" x14ac:dyDescent="0.3">
      <c r="A317" s="4" t="s">
        <v>167</v>
      </c>
      <c r="B317" s="4" t="s">
        <v>234</v>
      </c>
      <c r="C317" s="4">
        <v>1</v>
      </c>
    </row>
    <row r="318" spans="1:3" x14ac:dyDescent="0.3">
      <c r="A318" s="4" t="s">
        <v>167</v>
      </c>
      <c r="B318" s="4" t="s">
        <v>261</v>
      </c>
      <c r="C318" s="4">
        <v>1</v>
      </c>
    </row>
    <row r="319" spans="1:3" x14ac:dyDescent="0.3">
      <c r="A319" s="4" t="s">
        <v>167</v>
      </c>
      <c r="B319" s="4" t="s">
        <v>214</v>
      </c>
      <c r="C319" s="4">
        <v>1</v>
      </c>
    </row>
    <row r="320" spans="1:3" x14ac:dyDescent="0.3">
      <c r="A320" s="4" t="s">
        <v>167</v>
      </c>
      <c r="B320" s="4" t="s">
        <v>262</v>
      </c>
      <c r="C320" s="4">
        <v>1</v>
      </c>
    </row>
    <row r="321" spans="1:3" x14ac:dyDescent="0.3">
      <c r="A321" s="4" t="s">
        <v>179</v>
      </c>
      <c r="B321" s="4" t="s">
        <v>158</v>
      </c>
      <c r="C321" s="4">
        <v>41</v>
      </c>
    </row>
    <row r="322" spans="1:3" x14ac:dyDescent="0.3">
      <c r="A322" s="4" t="s">
        <v>179</v>
      </c>
      <c r="B322" s="4" t="s">
        <v>162</v>
      </c>
      <c r="C322" s="4">
        <v>25</v>
      </c>
    </row>
    <row r="323" spans="1:3" x14ac:dyDescent="0.3">
      <c r="A323" s="4" t="s">
        <v>179</v>
      </c>
      <c r="B323" s="4" t="s">
        <v>159</v>
      </c>
      <c r="C323" s="4">
        <v>23</v>
      </c>
    </row>
    <row r="324" spans="1:3" x14ac:dyDescent="0.3">
      <c r="A324" s="4" t="s">
        <v>179</v>
      </c>
      <c r="B324" s="4" t="s">
        <v>174</v>
      </c>
      <c r="C324" s="4">
        <v>22</v>
      </c>
    </row>
    <row r="325" spans="1:3" x14ac:dyDescent="0.3">
      <c r="A325" s="4" t="s">
        <v>179</v>
      </c>
      <c r="B325" s="4" t="s">
        <v>165</v>
      </c>
      <c r="C325" s="4">
        <v>22</v>
      </c>
    </row>
    <row r="326" spans="1:3" x14ac:dyDescent="0.3">
      <c r="A326" s="4" t="s">
        <v>179</v>
      </c>
      <c r="B326" s="4" t="s">
        <v>163</v>
      </c>
      <c r="C326" s="4">
        <v>19</v>
      </c>
    </row>
    <row r="327" spans="1:3" x14ac:dyDescent="0.3">
      <c r="A327" s="4" t="s">
        <v>179</v>
      </c>
      <c r="B327" s="4" t="s">
        <v>160</v>
      </c>
      <c r="C327" s="4">
        <v>19</v>
      </c>
    </row>
    <row r="328" spans="1:3" x14ac:dyDescent="0.3">
      <c r="A328" s="4" t="s">
        <v>179</v>
      </c>
      <c r="B328" s="4" t="s">
        <v>164</v>
      </c>
      <c r="C328" s="4">
        <v>18</v>
      </c>
    </row>
    <row r="329" spans="1:3" x14ac:dyDescent="0.3">
      <c r="A329" s="4" t="s">
        <v>179</v>
      </c>
      <c r="B329" s="4" t="s">
        <v>161</v>
      </c>
      <c r="C329" s="4">
        <v>10</v>
      </c>
    </row>
    <row r="330" spans="1:3" x14ac:dyDescent="0.3">
      <c r="A330" s="4" t="s">
        <v>179</v>
      </c>
      <c r="B330" s="4" t="s">
        <v>176</v>
      </c>
      <c r="C330" s="4">
        <v>5</v>
      </c>
    </row>
    <row r="331" spans="1:3" x14ac:dyDescent="0.3">
      <c r="A331" s="4" t="s">
        <v>179</v>
      </c>
      <c r="B331" s="4" t="s">
        <v>171</v>
      </c>
      <c r="C331" s="4">
        <v>3</v>
      </c>
    </row>
    <row r="332" spans="1:3" x14ac:dyDescent="0.3">
      <c r="A332" s="4" t="s">
        <v>179</v>
      </c>
      <c r="B332" s="4" t="s">
        <v>180</v>
      </c>
      <c r="C332" s="4">
        <v>3</v>
      </c>
    </row>
    <row r="333" spans="1:3" x14ac:dyDescent="0.3">
      <c r="A333" s="4" t="s">
        <v>179</v>
      </c>
      <c r="B333" s="4" t="s">
        <v>195</v>
      </c>
      <c r="C333" s="4">
        <v>3</v>
      </c>
    </row>
    <row r="334" spans="1:3" x14ac:dyDescent="0.3">
      <c r="A334" s="4" t="s">
        <v>179</v>
      </c>
      <c r="B334" s="4" t="s">
        <v>183</v>
      </c>
      <c r="C334" s="4">
        <v>1</v>
      </c>
    </row>
    <row r="335" spans="1:3" x14ac:dyDescent="0.3">
      <c r="A335" s="4" t="s">
        <v>179</v>
      </c>
      <c r="B335" s="4" t="s">
        <v>263</v>
      </c>
      <c r="C335" s="4">
        <v>1</v>
      </c>
    </row>
    <row r="336" spans="1:3" x14ac:dyDescent="0.3">
      <c r="A336" s="4" t="s">
        <v>179</v>
      </c>
      <c r="B336" s="4" t="s">
        <v>221</v>
      </c>
      <c r="C336" s="4">
        <v>1</v>
      </c>
    </row>
    <row r="337" spans="1:3" x14ac:dyDescent="0.3">
      <c r="A337" s="4" t="s">
        <v>179</v>
      </c>
      <c r="B337" s="4" t="s">
        <v>194</v>
      </c>
      <c r="C337" s="4">
        <v>1</v>
      </c>
    </row>
    <row r="338" spans="1:3" x14ac:dyDescent="0.3">
      <c r="A338" s="4" t="s">
        <v>179</v>
      </c>
      <c r="B338" s="4" t="s">
        <v>204</v>
      </c>
      <c r="C338" s="4">
        <v>1</v>
      </c>
    </row>
    <row r="339" spans="1:3" x14ac:dyDescent="0.3">
      <c r="A339" s="4" t="s">
        <v>179</v>
      </c>
      <c r="B339" s="4" t="s">
        <v>178</v>
      </c>
      <c r="C339" s="4">
        <v>1</v>
      </c>
    </row>
    <row r="340" spans="1:3" x14ac:dyDescent="0.3">
      <c r="A340" s="4" t="s">
        <v>179</v>
      </c>
      <c r="B340" s="4" t="s">
        <v>203</v>
      </c>
      <c r="C340" s="4">
        <v>1</v>
      </c>
    </row>
    <row r="341" spans="1:3" x14ac:dyDescent="0.3">
      <c r="A341" s="4" t="s">
        <v>179</v>
      </c>
      <c r="B341" s="4" t="s">
        <v>264</v>
      </c>
      <c r="C341" s="4">
        <v>1</v>
      </c>
    </row>
    <row r="342" spans="1:3" x14ac:dyDescent="0.3">
      <c r="A342" s="4" t="s">
        <v>179</v>
      </c>
      <c r="B342" s="4" t="s">
        <v>182</v>
      </c>
      <c r="C342" s="4">
        <v>1</v>
      </c>
    </row>
    <row r="343" spans="1:3" x14ac:dyDescent="0.3">
      <c r="A343" s="4" t="s">
        <v>179</v>
      </c>
      <c r="B343" s="4" t="s">
        <v>212</v>
      </c>
      <c r="C343" s="4">
        <v>1</v>
      </c>
    </row>
    <row r="344" spans="1:3" x14ac:dyDescent="0.3">
      <c r="A344" s="4" t="s">
        <v>179</v>
      </c>
      <c r="B344" s="4" t="s">
        <v>192</v>
      </c>
      <c r="C344" s="4">
        <v>1</v>
      </c>
    </row>
    <row r="345" spans="1:3" x14ac:dyDescent="0.3">
      <c r="A345" s="4" t="s">
        <v>265</v>
      </c>
      <c r="B345" s="4" t="s">
        <v>158</v>
      </c>
      <c r="C345" s="4">
        <v>32</v>
      </c>
    </row>
    <row r="346" spans="1:3" x14ac:dyDescent="0.3">
      <c r="A346" s="4" t="s">
        <v>265</v>
      </c>
      <c r="B346" s="4" t="s">
        <v>159</v>
      </c>
      <c r="C346" s="4">
        <v>15</v>
      </c>
    </row>
    <row r="347" spans="1:3" x14ac:dyDescent="0.3">
      <c r="A347" s="4" t="s">
        <v>265</v>
      </c>
      <c r="B347" s="4" t="s">
        <v>160</v>
      </c>
      <c r="C347" s="4">
        <v>13</v>
      </c>
    </row>
    <row r="348" spans="1:3" x14ac:dyDescent="0.3">
      <c r="A348" s="4" t="s">
        <v>265</v>
      </c>
      <c r="B348" s="4" t="s">
        <v>161</v>
      </c>
      <c r="C348" s="4">
        <v>10</v>
      </c>
    </row>
    <row r="349" spans="1:3" x14ac:dyDescent="0.3">
      <c r="A349" s="4" t="s">
        <v>265</v>
      </c>
      <c r="B349" s="4" t="s">
        <v>162</v>
      </c>
      <c r="C349" s="4">
        <v>10</v>
      </c>
    </row>
    <row r="350" spans="1:3" x14ac:dyDescent="0.3">
      <c r="A350" s="4" t="s">
        <v>265</v>
      </c>
      <c r="B350" s="4" t="s">
        <v>163</v>
      </c>
      <c r="C350" s="4">
        <v>9</v>
      </c>
    </row>
    <row r="351" spans="1:3" x14ac:dyDescent="0.3">
      <c r="A351" s="4" t="s">
        <v>265</v>
      </c>
      <c r="B351" s="4" t="s">
        <v>176</v>
      </c>
      <c r="C351" s="4">
        <v>7</v>
      </c>
    </row>
    <row r="352" spans="1:3" x14ac:dyDescent="0.3">
      <c r="A352" s="4" t="s">
        <v>265</v>
      </c>
      <c r="B352" s="4" t="s">
        <v>165</v>
      </c>
      <c r="C352" s="4">
        <v>5</v>
      </c>
    </row>
    <row r="353" spans="1:3" x14ac:dyDescent="0.3">
      <c r="A353" s="4" t="s">
        <v>265</v>
      </c>
      <c r="B353" s="4" t="s">
        <v>180</v>
      </c>
      <c r="C353" s="4">
        <v>4</v>
      </c>
    </row>
    <row r="354" spans="1:3" x14ac:dyDescent="0.3">
      <c r="A354" s="4" t="s">
        <v>265</v>
      </c>
      <c r="B354" s="4" t="s">
        <v>174</v>
      </c>
      <c r="C354" s="4">
        <v>3</v>
      </c>
    </row>
    <row r="355" spans="1:3" x14ac:dyDescent="0.3">
      <c r="A355" s="4" t="s">
        <v>265</v>
      </c>
      <c r="B355" s="4" t="s">
        <v>183</v>
      </c>
      <c r="C355" s="4">
        <v>2</v>
      </c>
    </row>
    <row r="356" spans="1:3" x14ac:dyDescent="0.3">
      <c r="A356" s="4" t="s">
        <v>265</v>
      </c>
      <c r="B356" s="4" t="s">
        <v>164</v>
      </c>
      <c r="C356" s="4">
        <v>2</v>
      </c>
    </row>
    <row r="357" spans="1:3" x14ac:dyDescent="0.3">
      <c r="A357" s="4" t="s">
        <v>265</v>
      </c>
      <c r="B357" s="4" t="s">
        <v>200</v>
      </c>
      <c r="C357" s="4">
        <v>1</v>
      </c>
    </row>
    <row r="358" spans="1:3" x14ac:dyDescent="0.3">
      <c r="A358" s="4" t="s">
        <v>265</v>
      </c>
      <c r="B358" s="4" t="s">
        <v>234</v>
      </c>
      <c r="C358" s="4">
        <v>1</v>
      </c>
    </row>
    <row r="359" spans="1:3" x14ac:dyDescent="0.3">
      <c r="A359" s="4" t="s">
        <v>265</v>
      </c>
      <c r="B359" s="4" t="s">
        <v>178</v>
      </c>
      <c r="C359" s="4">
        <v>1</v>
      </c>
    </row>
    <row r="360" spans="1:3" x14ac:dyDescent="0.3">
      <c r="A360" s="4" t="s">
        <v>265</v>
      </c>
      <c r="B360" s="4" t="s">
        <v>204</v>
      </c>
      <c r="C360" s="4">
        <v>1</v>
      </c>
    </row>
    <row r="361" spans="1:3" x14ac:dyDescent="0.3">
      <c r="A361" s="4" t="s">
        <v>265</v>
      </c>
      <c r="B361" s="4" t="s">
        <v>171</v>
      </c>
      <c r="C361" s="4">
        <v>1</v>
      </c>
    </row>
    <row r="362" spans="1:3" x14ac:dyDescent="0.3">
      <c r="A362" s="4" t="s">
        <v>266</v>
      </c>
      <c r="B362" s="4" t="s">
        <v>158</v>
      </c>
      <c r="C362" s="4">
        <v>49</v>
      </c>
    </row>
    <row r="363" spans="1:3" x14ac:dyDescent="0.3">
      <c r="A363" s="4" t="s">
        <v>266</v>
      </c>
      <c r="B363" s="4" t="s">
        <v>159</v>
      </c>
      <c r="C363" s="4">
        <v>22</v>
      </c>
    </row>
    <row r="364" spans="1:3" x14ac:dyDescent="0.3">
      <c r="A364" s="4" t="s">
        <v>266</v>
      </c>
      <c r="B364" s="4" t="s">
        <v>160</v>
      </c>
      <c r="C364" s="4">
        <v>18</v>
      </c>
    </row>
    <row r="365" spans="1:3" x14ac:dyDescent="0.3">
      <c r="A365" s="4" t="s">
        <v>266</v>
      </c>
      <c r="B365" s="4" t="s">
        <v>162</v>
      </c>
      <c r="C365" s="4">
        <v>14</v>
      </c>
    </row>
    <row r="366" spans="1:3" x14ac:dyDescent="0.3">
      <c r="A366" s="4" t="s">
        <v>266</v>
      </c>
      <c r="B366" s="4" t="s">
        <v>165</v>
      </c>
      <c r="C366" s="4">
        <v>13</v>
      </c>
    </row>
    <row r="367" spans="1:3" x14ac:dyDescent="0.3">
      <c r="A367" s="4" t="s">
        <v>266</v>
      </c>
      <c r="B367" s="4" t="s">
        <v>163</v>
      </c>
      <c r="C367" s="4">
        <v>12</v>
      </c>
    </row>
    <row r="368" spans="1:3" x14ac:dyDescent="0.3">
      <c r="A368" s="4" t="s">
        <v>266</v>
      </c>
      <c r="B368" s="4" t="s">
        <v>161</v>
      </c>
      <c r="C368" s="4">
        <v>12</v>
      </c>
    </row>
    <row r="369" spans="1:3" x14ac:dyDescent="0.3">
      <c r="A369" s="4" t="s">
        <v>266</v>
      </c>
      <c r="B369" s="4" t="s">
        <v>174</v>
      </c>
      <c r="C369" s="4">
        <v>10</v>
      </c>
    </row>
    <row r="370" spans="1:3" x14ac:dyDescent="0.3">
      <c r="A370" s="4" t="s">
        <v>266</v>
      </c>
      <c r="B370" s="4" t="s">
        <v>176</v>
      </c>
      <c r="C370" s="4">
        <v>9</v>
      </c>
    </row>
    <row r="371" spans="1:3" x14ac:dyDescent="0.3">
      <c r="A371" s="4" t="s">
        <v>266</v>
      </c>
      <c r="B371" s="4" t="s">
        <v>194</v>
      </c>
      <c r="C371" s="4">
        <v>9</v>
      </c>
    </row>
    <row r="372" spans="1:3" x14ac:dyDescent="0.3">
      <c r="A372" s="4" t="s">
        <v>266</v>
      </c>
      <c r="B372" s="4" t="s">
        <v>171</v>
      </c>
      <c r="C372" s="4">
        <v>8</v>
      </c>
    </row>
    <row r="373" spans="1:3" x14ac:dyDescent="0.3">
      <c r="A373" s="4" t="s">
        <v>266</v>
      </c>
      <c r="B373" s="4" t="s">
        <v>164</v>
      </c>
      <c r="C373" s="4">
        <v>6</v>
      </c>
    </row>
    <row r="374" spans="1:3" x14ac:dyDescent="0.3">
      <c r="A374" s="4" t="s">
        <v>266</v>
      </c>
      <c r="B374" s="4" t="s">
        <v>183</v>
      </c>
      <c r="C374" s="4">
        <v>3</v>
      </c>
    </row>
    <row r="375" spans="1:3" x14ac:dyDescent="0.3">
      <c r="A375" s="4" t="s">
        <v>266</v>
      </c>
      <c r="B375" s="4" t="s">
        <v>184</v>
      </c>
      <c r="C375" s="4">
        <v>2</v>
      </c>
    </row>
    <row r="376" spans="1:3" x14ac:dyDescent="0.3">
      <c r="A376" s="4" t="s">
        <v>266</v>
      </c>
      <c r="B376" s="4" t="s">
        <v>200</v>
      </c>
      <c r="C376" s="4">
        <v>2</v>
      </c>
    </row>
    <row r="377" spans="1:3" x14ac:dyDescent="0.3">
      <c r="A377" s="4" t="s">
        <v>266</v>
      </c>
      <c r="B377" s="4" t="s">
        <v>182</v>
      </c>
      <c r="C377" s="4">
        <v>2</v>
      </c>
    </row>
    <row r="378" spans="1:3" x14ac:dyDescent="0.3">
      <c r="A378" s="4" t="s">
        <v>266</v>
      </c>
      <c r="B378" s="4" t="s">
        <v>230</v>
      </c>
      <c r="C378" s="4">
        <v>1</v>
      </c>
    </row>
    <row r="379" spans="1:3" x14ac:dyDescent="0.3">
      <c r="A379" s="4" t="s">
        <v>266</v>
      </c>
      <c r="B379" s="4" t="s">
        <v>213</v>
      </c>
      <c r="C379" s="4">
        <v>1</v>
      </c>
    </row>
    <row r="380" spans="1:3" x14ac:dyDescent="0.3">
      <c r="A380" s="4" t="s">
        <v>266</v>
      </c>
      <c r="B380" s="4" t="s">
        <v>178</v>
      </c>
      <c r="C380" s="4">
        <v>1</v>
      </c>
    </row>
    <row r="381" spans="1:3" x14ac:dyDescent="0.3">
      <c r="A381" s="4" t="s">
        <v>266</v>
      </c>
      <c r="B381" s="4" t="s">
        <v>221</v>
      </c>
      <c r="C381" s="4">
        <v>1</v>
      </c>
    </row>
    <row r="382" spans="1:3" x14ac:dyDescent="0.3">
      <c r="A382" s="4" t="s">
        <v>266</v>
      </c>
      <c r="B382" s="4" t="s">
        <v>198</v>
      </c>
      <c r="C382" s="4">
        <v>1</v>
      </c>
    </row>
    <row r="383" spans="1:3" x14ac:dyDescent="0.3">
      <c r="A383" s="4" t="s">
        <v>266</v>
      </c>
      <c r="B383" s="4" t="s">
        <v>255</v>
      </c>
      <c r="C383" s="4">
        <v>1</v>
      </c>
    </row>
    <row r="384" spans="1:3" x14ac:dyDescent="0.3">
      <c r="A384" s="4" t="s">
        <v>266</v>
      </c>
      <c r="B384" s="4" t="s">
        <v>197</v>
      </c>
      <c r="C384" s="4">
        <v>1</v>
      </c>
    </row>
    <row r="385" spans="1:3" x14ac:dyDescent="0.3">
      <c r="A385" s="4" t="s">
        <v>266</v>
      </c>
      <c r="B385" s="4" t="s">
        <v>209</v>
      </c>
      <c r="C385" s="4">
        <v>1</v>
      </c>
    </row>
    <row r="386" spans="1:3" x14ac:dyDescent="0.3">
      <c r="A386" s="4" t="s">
        <v>266</v>
      </c>
      <c r="B386" s="4" t="s">
        <v>231</v>
      </c>
      <c r="C386" s="4">
        <v>1</v>
      </c>
    </row>
    <row r="387" spans="1:3" x14ac:dyDescent="0.3">
      <c r="A387" s="4" t="s">
        <v>266</v>
      </c>
      <c r="B387" s="4" t="s">
        <v>204</v>
      </c>
      <c r="C387" s="4">
        <v>1</v>
      </c>
    </row>
    <row r="388" spans="1:3" x14ac:dyDescent="0.3">
      <c r="A388" s="4" t="s">
        <v>266</v>
      </c>
      <c r="B388" s="4" t="s">
        <v>232</v>
      </c>
      <c r="C388" s="4">
        <v>1</v>
      </c>
    </row>
    <row r="389" spans="1:3" x14ac:dyDescent="0.3">
      <c r="A389" s="4" t="s">
        <v>267</v>
      </c>
      <c r="B389" s="4" t="s">
        <v>171</v>
      </c>
      <c r="C389" s="4">
        <v>40</v>
      </c>
    </row>
    <row r="390" spans="1:3" x14ac:dyDescent="0.3">
      <c r="A390" s="4" t="s">
        <v>267</v>
      </c>
      <c r="B390" s="4" t="s">
        <v>158</v>
      </c>
      <c r="C390" s="4">
        <v>13</v>
      </c>
    </row>
    <row r="391" spans="1:3" x14ac:dyDescent="0.3">
      <c r="A391" s="4" t="s">
        <v>267</v>
      </c>
      <c r="B391" s="4" t="s">
        <v>174</v>
      </c>
      <c r="C391" s="4">
        <v>8</v>
      </c>
    </row>
    <row r="392" spans="1:3" x14ac:dyDescent="0.3">
      <c r="A392" s="4" t="s">
        <v>267</v>
      </c>
      <c r="B392" s="4" t="s">
        <v>165</v>
      </c>
      <c r="C392" s="4">
        <v>7</v>
      </c>
    </row>
    <row r="393" spans="1:3" x14ac:dyDescent="0.3">
      <c r="A393" s="4" t="s">
        <v>267</v>
      </c>
      <c r="B393" s="4" t="s">
        <v>161</v>
      </c>
      <c r="C393" s="4">
        <v>6</v>
      </c>
    </row>
    <row r="394" spans="1:3" x14ac:dyDescent="0.3">
      <c r="A394" s="4" t="s">
        <v>267</v>
      </c>
      <c r="B394" s="4" t="s">
        <v>182</v>
      </c>
      <c r="C394" s="4">
        <v>5</v>
      </c>
    </row>
    <row r="395" spans="1:3" x14ac:dyDescent="0.3">
      <c r="A395" s="4" t="s">
        <v>267</v>
      </c>
      <c r="B395" s="4" t="s">
        <v>176</v>
      </c>
      <c r="C395" s="4">
        <v>5</v>
      </c>
    </row>
    <row r="396" spans="1:3" x14ac:dyDescent="0.3">
      <c r="A396" s="4" t="s">
        <v>267</v>
      </c>
      <c r="B396" s="4" t="s">
        <v>164</v>
      </c>
      <c r="C396" s="4">
        <v>5</v>
      </c>
    </row>
    <row r="397" spans="1:3" x14ac:dyDescent="0.3">
      <c r="A397" s="4" t="s">
        <v>267</v>
      </c>
      <c r="B397" s="4" t="s">
        <v>159</v>
      </c>
      <c r="C397" s="4">
        <v>4</v>
      </c>
    </row>
    <row r="398" spans="1:3" x14ac:dyDescent="0.3">
      <c r="A398" s="4" t="s">
        <v>267</v>
      </c>
      <c r="B398" s="4" t="s">
        <v>162</v>
      </c>
      <c r="C398" s="4">
        <v>4</v>
      </c>
    </row>
    <row r="399" spans="1:3" x14ac:dyDescent="0.3">
      <c r="A399" s="4" t="s">
        <v>267</v>
      </c>
      <c r="B399" s="4" t="s">
        <v>160</v>
      </c>
      <c r="C399" s="4">
        <v>4</v>
      </c>
    </row>
    <row r="400" spans="1:3" x14ac:dyDescent="0.3">
      <c r="A400" s="4" t="s">
        <v>267</v>
      </c>
      <c r="B400" s="4" t="s">
        <v>163</v>
      </c>
      <c r="C400" s="4">
        <v>3</v>
      </c>
    </row>
    <row r="401" spans="1:3" x14ac:dyDescent="0.3">
      <c r="A401" s="4" t="s">
        <v>267</v>
      </c>
      <c r="B401" s="4" t="s">
        <v>192</v>
      </c>
      <c r="C401" s="4">
        <v>2</v>
      </c>
    </row>
    <row r="402" spans="1:3" x14ac:dyDescent="0.3">
      <c r="A402" s="4" t="s">
        <v>267</v>
      </c>
      <c r="B402" s="4" t="s">
        <v>234</v>
      </c>
      <c r="C402" s="4">
        <v>1</v>
      </c>
    </row>
    <row r="403" spans="1:3" x14ac:dyDescent="0.3">
      <c r="A403" s="4" t="s">
        <v>267</v>
      </c>
      <c r="B403" s="4" t="s">
        <v>229</v>
      </c>
      <c r="C403" s="4">
        <v>1</v>
      </c>
    </row>
    <row r="404" spans="1:3" x14ac:dyDescent="0.3">
      <c r="A404" s="4" t="s">
        <v>267</v>
      </c>
      <c r="B404" s="4" t="s">
        <v>196</v>
      </c>
      <c r="C404" s="4">
        <v>1</v>
      </c>
    </row>
    <row r="405" spans="1:3" x14ac:dyDescent="0.3">
      <c r="A405" s="4" t="s">
        <v>267</v>
      </c>
      <c r="B405" s="4" t="s">
        <v>204</v>
      </c>
      <c r="C405" s="4">
        <v>1</v>
      </c>
    </row>
    <row r="406" spans="1:3" x14ac:dyDescent="0.3">
      <c r="A406" s="4" t="s">
        <v>268</v>
      </c>
      <c r="B406" s="4" t="s">
        <v>158</v>
      </c>
      <c r="C406" s="4">
        <v>28</v>
      </c>
    </row>
    <row r="407" spans="1:3" x14ac:dyDescent="0.3">
      <c r="A407" s="4" t="s">
        <v>268</v>
      </c>
      <c r="B407" s="4" t="s">
        <v>174</v>
      </c>
      <c r="C407" s="4">
        <v>11</v>
      </c>
    </row>
    <row r="408" spans="1:3" x14ac:dyDescent="0.3">
      <c r="A408" s="4" t="s">
        <v>268</v>
      </c>
      <c r="B408" s="4" t="s">
        <v>163</v>
      </c>
      <c r="C408" s="4">
        <v>7</v>
      </c>
    </row>
    <row r="409" spans="1:3" x14ac:dyDescent="0.3">
      <c r="A409" s="4" t="s">
        <v>268</v>
      </c>
      <c r="B409" s="4" t="s">
        <v>160</v>
      </c>
      <c r="C409" s="4">
        <v>7</v>
      </c>
    </row>
    <row r="410" spans="1:3" x14ac:dyDescent="0.3">
      <c r="A410" s="4" t="s">
        <v>268</v>
      </c>
      <c r="B410" s="4" t="s">
        <v>159</v>
      </c>
      <c r="C410" s="4">
        <v>6</v>
      </c>
    </row>
    <row r="411" spans="1:3" x14ac:dyDescent="0.3">
      <c r="A411" s="4" t="s">
        <v>268</v>
      </c>
      <c r="B411" s="4" t="s">
        <v>176</v>
      </c>
      <c r="C411" s="4">
        <v>5</v>
      </c>
    </row>
    <row r="412" spans="1:3" x14ac:dyDescent="0.3">
      <c r="A412" s="4" t="s">
        <v>268</v>
      </c>
      <c r="B412" s="4" t="s">
        <v>165</v>
      </c>
      <c r="C412" s="4">
        <v>5</v>
      </c>
    </row>
    <row r="413" spans="1:3" x14ac:dyDescent="0.3">
      <c r="A413" s="4" t="s">
        <v>268</v>
      </c>
      <c r="B413" s="4" t="s">
        <v>162</v>
      </c>
      <c r="C413" s="4">
        <v>4</v>
      </c>
    </row>
    <row r="414" spans="1:3" x14ac:dyDescent="0.3">
      <c r="A414" s="4" t="s">
        <v>268</v>
      </c>
      <c r="B414" s="4" t="s">
        <v>161</v>
      </c>
      <c r="C414" s="4">
        <v>3</v>
      </c>
    </row>
    <row r="415" spans="1:3" x14ac:dyDescent="0.3">
      <c r="A415" s="4" t="s">
        <v>268</v>
      </c>
      <c r="B415" s="4" t="s">
        <v>164</v>
      </c>
      <c r="C415" s="4">
        <v>3</v>
      </c>
    </row>
    <row r="416" spans="1:3" x14ac:dyDescent="0.3">
      <c r="A416" s="4" t="s">
        <v>268</v>
      </c>
      <c r="B416" s="4" t="s">
        <v>261</v>
      </c>
      <c r="C416" s="4">
        <v>1</v>
      </c>
    </row>
    <row r="417" spans="1:3" x14ac:dyDescent="0.3">
      <c r="A417" s="4" t="s">
        <v>268</v>
      </c>
      <c r="B417" s="4" t="s">
        <v>252</v>
      </c>
      <c r="C417" s="4">
        <v>1</v>
      </c>
    </row>
    <row r="418" spans="1:3" x14ac:dyDescent="0.3">
      <c r="A418" s="4" t="s">
        <v>268</v>
      </c>
      <c r="B418" s="4" t="s">
        <v>183</v>
      </c>
      <c r="C418" s="4">
        <v>1</v>
      </c>
    </row>
    <row r="419" spans="1:3" x14ac:dyDescent="0.3">
      <c r="A419" s="4" t="s">
        <v>268</v>
      </c>
      <c r="B419" s="4" t="s">
        <v>231</v>
      </c>
      <c r="C419" s="4">
        <v>1</v>
      </c>
    </row>
    <row r="420" spans="1:3" x14ac:dyDescent="0.3">
      <c r="A420" s="4" t="s">
        <v>268</v>
      </c>
      <c r="B420" s="4" t="s">
        <v>204</v>
      </c>
      <c r="C420" s="4">
        <v>1</v>
      </c>
    </row>
    <row r="421" spans="1:3" x14ac:dyDescent="0.3">
      <c r="A421" s="4" t="s">
        <v>268</v>
      </c>
      <c r="B421" s="4" t="s">
        <v>235</v>
      </c>
      <c r="C421" s="4">
        <v>1</v>
      </c>
    </row>
    <row r="422" spans="1:3" x14ac:dyDescent="0.3">
      <c r="A422" s="4" t="s">
        <v>268</v>
      </c>
      <c r="B422" s="4" t="s">
        <v>269</v>
      </c>
      <c r="C422" s="4">
        <v>1</v>
      </c>
    </row>
    <row r="423" spans="1:3" x14ac:dyDescent="0.3">
      <c r="A423" s="4" t="s">
        <v>268</v>
      </c>
      <c r="B423" s="4" t="s">
        <v>234</v>
      </c>
      <c r="C423" s="4">
        <v>1</v>
      </c>
    </row>
    <row r="424" spans="1:3" x14ac:dyDescent="0.3">
      <c r="A424" s="4" t="s">
        <v>268</v>
      </c>
      <c r="B424" s="4" t="s">
        <v>238</v>
      </c>
      <c r="C424" s="4">
        <v>1</v>
      </c>
    </row>
    <row r="425" spans="1:3" x14ac:dyDescent="0.3">
      <c r="A425" s="4" t="s">
        <v>268</v>
      </c>
      <c r="B425" s="4" t="s">
        <v>180</v>
      </c>
      <c r="C425" s="4">
        <v>1</v>
      </c>
    </row>
    <row r="426" spans="1:3" x14ac:dyDescent="0.3">
      <c r="A426" s="4" t="s">
        <v>270</v>
      </c>
      <c r="B426" s="4" t="s">
        <v>158</v>
      </c>
      <c r="C426" s="4">
        <v>14</v>
      </c>
    </row>
    <row r="427" spans="1:3" x14ac:dyDescent="0.3">
      <c r="A427" s="4" t="s">
        <v>270</v>
      </c>
      <c r="B427" s="4" t="s">
        <v>160</v>
      </c>
      <c r="C427" s="4">
        <v>13</v>
      </c>
    </row>
    <row r="428" spans="1:3" x14ac:dyDescent="0.3">
      <c r="A428" s="4" t="s">
        <v>270</v>
      </c>
      <c r="B428" s="4" t="s">
        <v>162</v>
      </c>
      <c r="C428" s="4">
        <v>11</v>
      </c>
    </row>
    <row r="429" spans="1:3" x14ac:dyDescent="0.3">
      <c r="A429" s="4" t="s">
        <v>270</v>
      </c>
      <c r="B429" s="4" t="s">
        <v>163</v>
      </c>
      <c r="C429" s="4">
        <v>9</v>
      </c>
    </row>
    <row r="430" spans="1:3" x14ac:dyDescent="0.3">
      <c r="A430" s="4" t="s">
        <v>270</v>
      </c>
      <c r="B430" s="4" t="s">
        <v>161</v>
      </c>
      <c r="C430" s="4">
        <v>6</v>
      </c>
    </row>
    <row r="431" spans="1:3" x14ac:dyDescent="0.3">
      <c r="A431" s="4" t="s">
        <v>270</v>
      </c>
      <c r="B431" s="4" t="s">
        <v>159</v>
      </c>
      <c r="C431" s="4">
        <v>6</v>
      </c>
    </row>
    <row r="432" spans="1:3" x14ac:dyDescent="0.3">
      <c r="A432" s="4" t="s">
        <v>270</v>
      </c>
      <c r="B432" s="4" t="s">
        <v>174</v>
      </c>
      <c r="C432" s="4">
        <v>5</v>
      </c>
    </row>
    <row r="433" spans="1:3" x14ac:dyDescent="0.3">
      <c r="A433" s="4" t="s">
        <v>270</v>
      </c>
      <c r="B433" s="4" t="s">
        <v>176</v>
      </c>
      <c r="C433" s="4">
        <v>3</v>
      </c>
    </row>
    <row r="434" spans="1:3" x14ac:dyDescent="0.3">
      <c r="A434" s="4" t="s">
        <v>270</v>
      </c>
      <c r="B434" s="4" t="s">
        <v>164</v>
      </c>
      <c r="C434" s="4">
        <v>3</v>
      </c>
    </row>
    <row r="435" spans="1:3" x14ac:dyDescent="0.3">
      <c r="A435" s="4" t="s">
        <v>270</v>
      </c>
      <c r="B435" s="4" t="s">
        <v>193</v>
      </c>
      <c r="C435" s="4">
        <v>1</v>
      </c>
    </row>
    <row r="436" spans="1:3" x14ac:dyDescent="0.3">
      <c r="A436" s="4" t="s">
        <v>270</v>
      </c>
      <c r="B436" s="4" t="s">
        <v>230</v>
      </c>
      <c r="C436" s="4">
        <v>1</v>
      </c>
    </row>
    <row r="437" spans="1:3" x14ac:dyDescent="0.3">
      <c r="A437" s="4" t="s">
        <v>270</v>
      </c>
      <c r="B437" s="4" t="s">
        <v>165</v>
      </c>
      <c r="C437" s="4">
        <v>1</v>
      </c>
    </row>
    <row r="438" spans="1:3" x14ac:dyDescent="0.3">
      <c r="A438" s="4" t="s">
        <v>270</v>
      </c>
      <c r="B438" s="4" t="s">
        <v>258</v>
      </c>
      <c r="C438" s="4">
        <v>1</v>
      </c>
    </row>
    <row r="439" spans="1:3" x14ac:dyDescent="0.3">
      <c r="A439" s="4" t="s">
        <v>270</v>
      </c>
      <c r="B439" s="4" t="s">
        <v>209</v>
      </c>
      <c r="C439" s="4">
        <v>1</v>
      </c>
    </row>
    <row r="440" spans="1:3" x14ac:dyDescent="0.3">
      <c r="A440" s="4" t="s">
        <v>271</v>
      </c>
      <c r="B440" s="4" t="s">
        <v>158</v>
      </c>
      <c r="C440" s="4">
        <v>24</v>
      </c>
    </row>
    <row r="441" spans="1:3" x14ac:dyDescent="0.3">
      <c r="A441" s="4" t="s">
        <v>271</v>
      </c>
      <c r="B441" s="4" t="s">
        <v>165</v>
      </c>
      <c r="C441" s="4">
        <v>16</v>
      </c>
    </row>
    <row r="442" spans="1:3" x14ac:dyDescent="0.3">
      <c r="A442" s="4" t="s">
        <v>271</v>
      </c>
      <c r="B442" s="4" t="s">
        <v>162</v>
      </c>
      <c r="C442" s="4">
        <v>10</v>
      </c>
    </row>
    <row r="443" spans="1:3" x14ac:dyDescent="0.3">
      <c r="A443" s="4" t="s">
        <v>271</v>
      </c>
      <c r="B443" s="4" t="s">
        <v>174</v>
      </c>
      <c r="C443" s="4">
        <v>10</v>
      </c>
    </row>
    <row r="444" spans="1:3" x14ac:dyDescent="0.3">
      <c r="A444" s="4" t="s">
        <v>271</v>
      </c>
      <c r="B444" s="4" t="s">
        <v>159</v>
      </c>
      <c r="C444" s="4">
        <v>10</v>
      </c>
    </row>
    <row r="445" spans="1:3" x14ac:dyDescent="0.3">
      <c r="A445" s="4" t="s">
        <v>271</v>
      </c>
      <c r="B445" s="4" t="s">
        <v>161</v>
      </c>
      <c r="C445" s="4">
        <v>8</v>
      </c>
    </row>
    <row r="446" spans="1:3" x14ac:dyDescent="0.3">
      <c r="A446" s="4" t="s">
        <v>271</v>
      </c>
      <c r="B446" s="4" t="s">
        <v>160</v>
      </c>
      <c r="C446" s="4">
        <v>7</v>
      </c>
    </row>
    <row r="447" spans="1:3" x14ac:dyDescent="0.3">
      <c r="A447" s="4" t="s">
        <v>271</v>
      </c>
      <c r="B447" s="4" t="s">
        <v>164</v>
      </c>
      <c r="C447" s="4">
        <v>6</v>
      </c>
    </row>
    <row r="448" spans="1:3" x14ac:dyDescent="0.3">
      <c r="A448" s="4" t="s">
        <v>271</v>
      </c>
      <c r="B448" s="4" t="s">
        <v>176</v>
      </c>
      <c r="C448" s="4">
        <v>5</v>
      </c>
    </row>
    <row r="449" spans="1:3" x14ac:dyDescent="0.3">
      <c r="A449" s="4" t="s">
        <v>271</v>
      </c>
      <c r="B449" s="4" t="s">
        <v>163</v>
      </c>
      <c r="C449" s="4">
        <v>4</v>
      </c>
    </row>
    <row r="450" spans="1:3" x14ac:dyDescent="0.3">
      <c r="A450" s="4" t="s">
        <v>271</v>
      </c>
      <c r="B450" s="4" t="s">
        <v>180</v>
      </c>
      <c r="C450" s="4">
        <v>3</v>
      </c>
    </row>
    <row r="451" spans="1:3" x14ac:dyDescent="0.3">
      <c r="A451" s="4" t="s">
        <v>271</v>
      </c>
      <c r="B451" s="4" t="s">
        <v>236</v>
      </c>
      <c r="C451" s="4">
        <v>1</v>
      </c>
    </row>
    <row r="452" spans="1:3" x14ac:dyDescent="0.3">
      <c r="A452" s="4" t="s">
        <v>271</v>
      </c>
      <c r="B452" s="4" t="s">
        <v>235</v>
      </c>
      <c r="C452" s="4">
        <v>1</v>
      </c>
    </row>
    <row r="453" spans="1:3" x14ac:dyDescent="0.3">
      <c r="A453" s="4" t="s">
        <v>271</v>
      </c>
      <c r="B453" s="4" t="s">
        <v>272</v>
      </c>
      <c r="C453" s="4">
        <v>1</v>
      </c>
    </row>
    <row r="454" spans="1:3" x14ac:dyDescent="0.3">
      <c r="A454" s="4" t="s">
        <v>271</v>
      </c>
      <c r="B454" s="4" t="s">
        <v>238</v>
      </c>
      <c r="C454" s="4">
        <v>1</v>
      </c>
    </row>
    <row r="455" spans="1:3" x14ac:dyDescent="0.3">
      <c r="A455" s="4" t="s">
        <v>271</v>
      </c>
      <c r="B455" s="4" t="s">
        <v>273</v>
      </c>
      <c r="C455" s="4">
        <v>1</v>
      </c>
    </row>
    <row r="456" spans="1:3" x14ac:dyDescent="0.3">
      <c r="A456" s="4" t="s">
        <v>271</v>
      </c>
      <c r="B456" s="4" t="s">
        <v>171</v>
      </c>
      <c r="C456" s="4">
        <v>1</v>
      </c>
    </row>
    <row r="457" spans="1:3" x14ac:dyDescent="0.3">
      <c r="A457" s="4" t="s">
        <v>271</v>
      </c>
      <c r="B457" s="4" t="s">
        <v>202</v>
      </c>
      <c r="C457" s="4">
        <v>1</v>
      </c>
    </row>
    <row r="458" spans="1:3" x14ac:dyDescent="0.3">
      <c r="A458" s="4" t="s">
        <v>271</v>
      </c>
      <c r="B458" s="4" t="s">
        <v>245</v>
      </c>
      <c r="C458" s="4">
        <v>1</v>
      </c>
    </row>
    <row r="459" spans="1:3" x14ac:dyDescent="0.3">
      <c r="A459" s="4" t="s">
        <v>271</v>
      </c>
      <c r="B459" s="4" t="s">
        <v>261</v>
      </c>
      <c r="C459" s="4">
        <v>1</v>
      </c>
    </row>
    <row r="460" spans="1:3" x14ac:dyDescent="0.3">
      <c r="A460" s="4" t="s">
        <v>271</v>
      </c>
      <c r="B460" s="4" t="s">
        <v>192</v>
      </c>
      <c r="C460" s="4">
        <v>1</v>
      </c>
    </row>
    <row r="461" spans="1:3" x14ac:dyDescent="0.3">
      <c r="A461" s="4" t="s">
        <v>271</v>
      </c>
      <c r="B461" s="4" t="s">
        <v>263</v>
      </c>
      <c r="C461" s="4">
        <v>1</v>
      </c>
    </row>
    <row r="462" spans="1:3" x14ac:dyDescent="0.3">
      <c r="A462" s="4" t="s">
        <v>274</v>
      </c>
      <c r="B462" s="4" t="s">
        <v>158</v>
      </c>
      <c r="C462" s="4">
        <v>32</v>
      </c>
    </row>
    <row r="463" spans="1:3" x14ac:dyDescent="0.3">
      <c r="A463" s="4" t="s">
        <v>274</v>
      </c>
      <c r="B463" s="4" t="s">
        <v>159</v>
      </c>
      <c r="C463" s="4">
        <v>11</v>
      </c>
    </row>
    <row r="464" spans="1:3" x14ac:dyDescent="0.3">
      <c r="A464" s="4" t="s">
        <v>274</v>
      </c>
      <c r="B464" s="4" t="s">
        <v>194</v>
      </c>
      <c r="C464" s="4">
        <v>9</v>
      </c>
    </row>
    <row r="465" spans="1:3" x14ac:dyDescent="0.3">
      <c r="A465" s="4" t="s">
        <v>274</v>
      </c>
      <c r="B465" s="4" t="s">
        <v>164</v>
      </c>
      <c r="C465" s="4">
        <v>9</v>
      </c>
    </row>
    <row r="466" spans="1:3" x14ac:dyDescent="0.3">
      <c r="A466" s="4" t="s">
        <v>274</v>
      </c>
      <c r="B466" s="4" t="s">
        <v>163</v>
      </c>
      <c r="C466" s="4">
        <v>6</v>
      </c>
    </row>
    <row r="467" spans="1:3" x14ac:dyDescent="0.3">
      <c r="A467" s="4" t="s">
        <v>274</v>
      </c>
      <c r="B467" s="4" t="s">
        <v>160</v>
      </c>
      <c r="C467" s="4">
        <v>6</v>
      </c>
    </row>
    <row r="468" spans="1:3" x14ac:dyDescent="0.3">
      <c r="A468" s="4" t="s">
        <v>274</v>
      </c>
      <c r="B468" s="4" t="s">
        <v>165</v>
      </c>
      <c r="C468" s="4">
        <v>4</v>
      </c>
    </row>
    <row r="469" spans="1:3" x14ac:dyDescent="0.3">
      <c r="A469" s="4" t="s">
        <v>274</v>
      </c>
      <c r="B469" s="4" t="s">
        <v>174</v>
      </c>
      <c r="C469" s="4">
        <v>4</v>
      </c>
    </row>
    <row r="470" spans="1:3" x14ac:dyDescent="0.3">
      <c r="A470" s="4" t="s">
        <v>274</v>
      </c>
      <c r="B470" s="4" t="s">
        <v>161</v>
      </c>
      <c r="C470" s="4">
        <v>4</v>
      </c>
    </row>
    <row r="471" spans="1:3" x14ac:dyDescent="0.3">
      <c r="A471" s="4" t="s">
        <v>274</v>
      </c>
      <c r="B471" s="4" t="s">
        <v>162</v>
      </c>
      <c r="C471" s="4">
        <v>3</v>
      </c>
    </row>
    <row r="472" spans="1:3" x14ac:dyDescent="0.3">
      <c r="A472" s="4" t="s">
        <v>274</v>
      </c>
      <c r="B472" s="4" t="s">
        <v>231</v>
      </c>
      <c r="C472" s="4">
        <v>1</v>
      </c>
    </row>
    <row r="473" spans="1:3" x14ac:dyDescent="0.3">
      <c r="A473" s="4" t="s">
        <v>274</v>
      </c>
      <c r="B473" s="4" t="s">
        <v>176</v>
      </c>
      <c r="C473" s="4">
        <v>1</v>
      </c>
    </row>
    <row r="474" spans="1:3" x14ac:dyDescent="0.3">
      <c r="A474" s="4" t="s">
        <v>274</v>
      </c>
      <c r="B474" s="4" t="s">
        <v>269</v>
      </c>
      <c r="C474" s="4">
        <v>1</v>
      </c>
    </row>
    <row r="475" spans="1:3" x14ac:dyDescent="0.3">
      <c r="A475" s="4" t="s">
        <v>274</v>
      </c>
      <c r="B475" s="4" t="s">
        <v>204</v>
      </c>
      <c r="C475" s="4">
        <v>1</v>
      </c>
    </row>
    <row r="476" spans="1:3" x14ac:dyDescent="0.3">
      <c r="A476" s="4" t="s">
        <v>274</v>
      </c>
      <c r="B476" s="4" t="s">
        <v>183</v>
      </c>
      <c r="C476" s="4">
        <v>1</v>
      </c>
    </row>
    <row r="477" spans="1:3" x14ac:dyDescent="0.3">
      <c r="A477" s="4" t="s">
        <v>274</v>
      </c>
      <c r="B477" s="4" t="s">
        <v>252</v>
      </c>
      <c r="C477" s="4">
        <v>1</v>
      </c>
    </row>
    <row r="478" spans="1:3" x14ac:dyDescent="0.3">
      <c r="A478" s="4" t="s">
        <v>274</v>
      </c>
      <c r="B478" s="4" t="s">
        <v>238</v>
      </c>
      <c r="C478" s="4">
        <v>1</v>
      </c>
    </row>
    <row r="479" spans="1:3" x14ac:dyDescent="0.3">
      <c r="A479" s="4" t="s">
        <v>274</v>
      </c>
      <c r="B479" s="4" t="s">
        <v>275</v>
      </c>
      <c r="C479" s="4">
        <v>1</v>
      </c>
    </row>
    <row r="480" spans="1:3" x14ac:dyDescent="0.3">
      <c r="A480" s="4" t="s">
        <v>274</v>
      </c>
      <c r="B480" s="4" t="s">
        <v>261</v>
      </c>
      <c r="C480" s="4">
        <v>1</v>
      </c>
    </row>
    <row r="481" spans="1:3" x14ac:dyDescent="0.3">
      <c r="A481" s="4" t="s">
        <v>274</v>
      </c>
      <c r="B481" s="4" t="s">
        <v>200</v>
      </c>
      <c r="C481" s="4">
        <v>1</v>
      </c>
    </row>
    <row r="482" spans="1:3" x14ac:dyDescent="0.3">
      <c r="A482" s="4" t="s">
        <v>274</v>
      </c>
      <c r="B482" s="4" t="s">
        <v>234</v>
      </c>
      <c r="C482" s="4">
        <v>1</v>
      </c>
    </row>
    <row r="483" spans="1:3" x14ac:dyDescent="0.3">
      <c r="A483" s="4" t="s">
        <v>276</v>
      </c>
      <c r="B483" s="4" t="s">
        <v>158</v>
      </c>
      <c r="C483" s="4">
        <v>18</v>
      </c>
    </row>
    <row r="484" spans="1:3" x14ac:dyDescent="0.3">
      <c r="A484" s="4" t="s">
        <v>276</v>
      </c>
      <c r="B484" s="4" t="s">
        <v>162</v>
      </c>
      <c r="C484" s="4">
        <v>14</v>
      </c>
    </row>
    <row r="485" spans="1:3" x14ac:dyDescent="0.3">
      <c r="A485" s="4" t="s">
        <v>276</v>
      </c>
      <c r="B485" s="4" t="s">
        <v>163</v>
      </c>
      <c r="C485" s="4">
        <v>11</v>
      </c>
    </row>
    <row r="486" spans="1:3" x14ac:dyDescent="0.3">
      <c r="A486" s="4" t="s">
        <v>276</v>
      </c>
      <c r="B486" s="4" t="s">
        <v>161</v>
      </c>
      <c r="C486" s="4">
        <v>8</v>
      </c>
    </row>
    <row r="487" spans="1:3" x14ac:dyDescent="0.3">
      <c r="A487" s="4" t="s">
        <v>276</v>
      </c>
      <c r="B487" s="4" t="s">
        <v>159</v>
      </c>
      <c r="C487" s="4">
        <v>8</v>
      </c>
    </row>
    <row r="488" spans="1:3" x14ac:dyDescent="0.3">
      <c r="A488" s="4" t="s">
        <v>276</v>
      </c>
      <c r="B488" s="4" t="s">
        <v>164</v>
      </c>
      <c r="C488" s="4">
        <v>7</v>
      </c>
    </row>
    <row r="489" spans="1:3" x14ac:dyDescent="0.3">
      <c r="A489" s="4" t="s">
        <v>276</v>
      </c>
      <c r="B489" s="4" t="s">
        <v>174</v>
      </c>
      <c r="C489" s="4">
        <v>6</v>
      </c>
    </row>
    <row r="490" spans="1:3" x14ac:dyDescent="0.3">
      <c r="A490" s="4" t="s">
        <v>276</v>
      </c>
      <c r="B490" s="4" t="s">
        <v>160</v>
      </c>
      <c r="C490" s="4">
        <v>6</v>
      </c>
    </row>
    <row r="491" spans="1:3" x14ac:dyDescent="0.3">
      <c r="A491" s="4" t="s">
        <v>276</v>
      </c>
      <c r="B491" s="4" t="s">
        <v>228</v>
      </c>
      <c r="C491" s="4">
        <v>2</v>
      </c>
    </row>
    <row r="492" spans="1:3" x14ac:dyDescent="0.3">
      <c r="A492" s="4" t="s">
        <v>276</v>
      </c>
      <c r="B492" s="4" t="s">
        <v>205</v>
      </c>
      <c r="C492" s="4">
        <v>1</v>
      </c>
    </row>
    <row r="493" spans="1:3" x14ac:dyDescent="0.3">
      <c r="A493" s="4" t="s">
        <v>276</v>
      </c>
      <c r="B493" s="4" t="s">
        <v>221</v>
      </c>
      <c r="C493" s="4">
        <v>1</v>
      </c>
    </row>
    <row r="494" spans="1:3" x14ac:dyDescent="0.3">
      <c r="A494" s="4" t="s">
        <v>276</v>
      </c>
      <c r="B494" s="4" t="s">
        <v>236</v>
      </c>
      <c r="C494" s="4">
        <v>1</v>
      </c>
    </row>
    <row r="495" spans="1:3" x14ac:dyDescent="0.3">
      <c r="A495" s="4" t="s">
        <v>276</v>
      </c>
      <c r="B495" s="4" t="s">
        <v>277</v>
      </c>
      <c r="C495" s="4">
        <v>1</v>
      </c>
    </row>
    <row r="496" spans="1:3" x14ac:dyDescent="0.3">
      <c r="A496" s="4" t="s">
        <v>276</v>
      </c>
      <c r="B496" s="4" t="s">
        <v>178</v>
      </c>
      <c r="C496" s="4">
        <v>1</v>
      </c>
    </row>
    <row r="497" spans="1:3" x14ac:dyDescent="0.3">
      <c r="A497" s="4" t="s">
        <v>276</v>
      </c>
      <c r="B497" s="4" t="s">
        <v>176</v>
      </c>
      <c r="C497" s="4">
        <v>1</v>
      </c>
    </row>
    <row r="498" spans="1:3" x14ac:dyDescent="0.3">
      <c r="A498" s="4" t="s">
        <v>276</v>
      </c>
      <c r="B498" s="4" t="s">
        <v>220</v>
      </c>
      <c r="C498" s="4">
        <v>1</v>
      </c>
    </row>
    <row r="499" spans="1:3" x14ac:dyDescent="0.3">
      <c r="A499" s="4" t="s">
        <v>276</v>
      </c>
      <c r="B499" s="4" t="s">
        <v>187</v>
      </c>
      <c r="C499" s="4">
        <v>1</v>
      </c>
    </row>
    <row r="500" spans="1:3" x14ac:dyDescent="0.3">
      <c r="A500" s="4" t="s">
        <v>276</v>
      </c>
      <c r="B500" s="4" t="s">
        <v>165</v>
      </c>
      <c r="C500" s="4">
        <v>1</v>
      </c>
    </row>
    <row r="501" spans="1:3" x14ac:dyDescent="0.3">
      <c r="A501" s="4" t="s">
        <v>276</v>
      </c>
      <c r="B501" s="4" t="s">
        <v>183</v>
      </c>
      <c r="C501" s="4">
        <v>1</v>
      </c>
    </row>
    <row r="502" spans="1:3" x14ac:dyDescent="0.3">
      <c r="A502" s="4" t="s">
        <v>166</v>
      </c>
      <c r="B502" s="4" t="s">
        <v>158</v>
      </c>
      <c r="C502" s="4">
        <v>210</v>
      </c>
    </row>
    <row r="503" spans="1:3" x14ac:dyDescent="0.3">
      <c r="A503" s="4" t="s">
        <v>166</v>
      </c>
      <c r="B503" s="4" t="s">
        <v>159</v>
      </c>
      <c r="C503" s="4">
        <v>86</v>
      </c>
    </row>
    <row r="504" spans="1:3" x14ac:dyDescent="0.3">
      <c r="A504" s="4" t="s">
        <v>166</v>
      </c>
      <c r="B504" s="4" t="s">
        <v>160</v>
      </c>
      <c r="C504" s="4">
        <v>85</v>
      </c>
    </row>
    <row r="505" spans="1:3" x14ac:dyDescent="0.3">
      <c r="A505" s="4" t="s">
        <v>166</v>
      </c>
      <c r="B505" s="4" t="s">
        <v>162</v>
      </c>
      <c r="C505" s="4">
        <v>74</v>
      </c>
    </row>
    <row r="506" spans="1:3" x14ac:dyDescent="0.3">
      <c r="A506" s="4" t="s">
        <v>166</v>
      </c>
      <c r="B506" s="4" t="s">
        <v>163</v>
      </c>
      <c r="C506" s="4">
        <v>73</v>
      </c>
    </row>
    <row r="507" spans="1:3" x14ac:dyDescent="0.3">
      <c r="A507" s="4" t="s">
        <v>166</v>
      </c>
      <c r="B507" s="4" t="s">
        <v>161</v>
      </c>
      <c r="C507" s="4">
        <v>59</v>
      </c>
    </row>
    <row r="508" spans="1:3" x14ac:dyDescent="0.3">
      <c r="A508" s="4" t="s">
        <v>166</v>
      </c>
      <c r="B508" s="4" t="s">
        <v>174</v>
      </c>
      <c r="C508" s="4">
        <v>56</v>
      </c>
    </row>
    <row r="509" spans="1:3" x14ac:dyDescent="0.3">
      <c r="A509" s="4" t="s">
        <v>166</v>
      </c>
      <c r="B509" s="4" t="s">
        <v>164</v>
      </c>
      <c r="C509" s="4">
        <v>51</v>
      </c>
    </row>
    <row r="510" spans="1:3" x14ac:dyDescent="0.3">
      <c r="A510" s="4" t="s">
        <v>166</v>
      </c>
      <c r="B510" s="4" t="s">
        <v>165</v>
      </c>
      <c r="C510" s="4">
        <v>50</v>
      </c>
    </row>
    <row r="511" spans="1:3" x14ac:dyDescent="0.3">
      <c r="A511" s="4" t="s">
        <v>166</v>
      </c>
      <c r="B511" s="4" t="s">
        <v>176</v>
      </c>
      <c r="C511" s="4">
        <v>37</v>
      </c>
    </row>
    <row r="512" spans="1:3" x14ac:dyDescent="0.3">
      <c r="A512" s="4" t="s">
        <v>166</v>
      </c>
      <c r="B512" s="4" t="s">
        <v>171</v>
      </c>
      <c r="C512" s="4">
        <v>12</v>
      </c>
    </row>
    <row r="513" spans="1:3" x14ac:dyDescent="0.3">
      <c r="A513" s="4" t="s">
        <v>166</v>
      </c>
      <c r="B513" s="4" t="s">
        <v>183</v>
      </c>
      <c r="C513" s="4">
        <v>10</v>
      </c>
    </row>
    <row r="514" spans="1:3" x14ac:dyDescent="0.3">
      <c r="A514" s="4" t="s">
        <v>166</v>
      </c>
      <c r="B514" s="4" t="s">
        <v>180</v>
      </c>
      <c r="C514" s="4">
        <v>8</v>
      </c>
    </row>
    <row r="515" spans="1:3" x14ac:dyDescent="0.3">
      <c r="A515" s="4" t="s">
        <v>166</v>
      </c>
      <c r="B515" s="4" t="s">
        <v>194</v>
      </c>
      <c r="C515" s="4">
        <v>6</v>
      </c>
    </row>
    <row r="516" spans="1:3" x14ac:dyDescent="0.3">
      <c r="A516" s="4" t="s">
        <v>166</v>
      </c>
      <c r="B516" s="4" t="s">
        <v>184</v>
      </c>
      <c r="C516" s="4">
        <v>5</v>
      </c>
    </row>
    <row r="517" spans="1:3" x14ac:dyDescent="0.3">
      <c r="A517" s="4" t="s">
        <v>166</v>
      </c>
      <c r="B517" s="4" t="s">
        <v>221</v>
      </c>
      <c r="C517" s="4">
        <v>4</v>
      </c>
    </row>
    <row r="518" spans="1:3" x14ac:dyDescent="0.3">
      <c r="A518" s="4" t="s">
        <v>166</v>
      </c>
      <c r="B518" s="4" t="s">
        <v>178</v>
      </c>
      <c r="C518" s="4">
        <v>4</v>
      </c>
    </row>
    <row r="519" spans="1:3" x14ac:dyDescent="0.3">
      <c r="A519" s="4" t="s">
        <v>166</v>
      </c>
      <c r="B519" s="4" t="s">
        <v>232</v>
      </c>
      <c r="C519" s="4">
        <v>3</v>
      </c>
    </row>
    <row r="520" spans="1:3" x14ac:dyDescent="0.3">
      <c r="A520" s="4" t="s">
        <v>166</v>
      </c>
      <c r="B520" s="4" t="s">
        <v>238</v>
      </c>
      <c r="C520" s="4">
        <v>3</v>
      </c>
    </row>
    <row r="521" spans="1:3" x14ac:dyDescent="0.3">
      <c r="A521" s="4" t="s">
        <v>166</v>
      </c>
      <c r="B521" s="4" t="s">
        <v>205</v>
      </c>
      <c r="C521" s="4">
        <v>3</v>
      </c>
    </row>
    <row r="522" spans="1:3" x14ac:dyDescent="0.3">
      <c r="A522" s="4" t="s">
        <v>166</v>
      </c>
      <c r="B522" s="4" t="s">
        <v>278</v>
      </c>
      <c r="C522" s="4">
        <v>2</v>
      </c>
    </row>
    <row r="523" spans="1:3" x14ac:dyDescent="0.3">
      <c r="A523" s="4" t="s">
        <v>166</v>
      </c>
      <c r="B523" s="4" t="s">
        <v>279</v>
      </c>
      <c r="C523" s="4">
        <v>2</v>
      </c>
    </row>
    <row r="524" spans="1:3" x14ac:dyDescent="0.3">
      <c r="A524" s="4" t="s">
        <v>166</v>
      </c>
      <c r="B524" s="4" t="s">
        <v>280</v>
      </c>
      <c r="C524" s="4">
        <v>2</v>
      </c>
    </row>
    <row r="525" spans="1:3" x14ac:dyDescent="0.3">
      <c r="A525" s="4" t="s">
        <v>166</v>
      </c>
      <c r="B525" s="4" t="s">
        <v>257</v>
      </c>
      <c r="C525" s="4">
        <v>2</v>
      </c>
    </row>
    <row r="526" spans="1:3" x14ac:dyDescent="0.3">
      <c r="A526" s="4" t="s">
        <v>166</v>
      </c>
      <c r="B526" s="4" t="s">
        <v>252</v>
      </c>
      <c r="C526" s="4">
        <v>2</v>
      </c>
    </row>
    <row r="527" spans="1:3" x14ac:dyDescent="0.3">
      <c r="A527" s="4" t="s">
        <v>166</v>
      </c>
      <c r="B527" s="4" t="s">
        <v>262</v>
      </c>
      <c r="C527" s="4">
        <v>2</v>
      </c>
    </row>
    <row r="528" spans="1:3" x14ac:dyDescent="0.3">
      <c r="A528" s="4" t="s">
        <v>166</v>
      </c>
      <c r="B528" s="4" t="s">
        <v>189</v>
      </c>
      <c r="C528" s="4">
        <v>2</v>
      </c>
    </row>
    <row r="529" spans="1:3" x14ac:dyDescent="0.3">
      <c r="A529" s="4" t="s">
        <v>166</v>
      </c>
      <c r="B529" s="4" t="s">
        <v>258</v>
      </c>
      <c r="C529" s="4">
        <v>2</v>
      </c>
    </row>
    <row r="530" spans="1:3" x14ac:dyDescent="0.3">
      <c r="A530" s="4" t="s">
        <v>166</v>
      </c>
      <c r="B530" s="4" t="s">
        <v>226</v>
      </c>
      <c r="C530" s="4">
        <v>2</v>
      </c>
    </row>
    <row r="531" spans="1:3" x14ac:dyDescent="0.3">
      <c r="A531" s="4" t="s">
        <v>166</v>
      </c>
      <c r="B531" s="4" t="s">
        <v>195</v>
      </c>
      <c r="C531" s="4">
        <v>2</v>
      </c>
    </row>
    <row r="532" spans="1:3" x14ac:dyDescent="0.3">
      <c r="A532" s="4" t="s">
        <v>166</v>
      </c>
      <c r="B532" s="4" t="s">
        <v>200</v>
      </c>
      <c r="C532" s="4">
        <v>2</v>
      </c>
    </row>
    <row r="533" spans="1:3" x14ac:dyDescent="0.3">
      <c r="A533" s="4" t="s">
        <v>166</v>
      </c>
      <c r="B533" s="4" t="s">
        <v>220</v>
      </c>
      <c r="C533" s="4">
        <v>2</v>
      </c>
    </row>
    <row r="534" spans="1:3" x14ac:dyDescent="0.3">
      <c r="A534" s="4" t="s">
        <v>166</v>
      </c>
      <c r="B534" s="4" t="s">
        <v>192</v>
      </c>
      <c r="C534" s="4">
        <v>2</v>
      </c>
    </row>
    <row r="535" spans="1:3" x14ac:dyDescent="0.3">
      <c r="A535" s="4" t="s">
        <v>166</v>
      </c>
      <c r="B535" s="4" t="s">
        <v>197</v>
      </c>
      <c r="C535" s="4">
        <v>2</v>
      </c>
    </row>
    <row r="536" spans="1:3" x14ac:dyDescent="0.3">
      <c r="A536" s="4" t="s">
        <v>166</v>
      </c>
      <c r="B536" s="4" t="s">
        <v>210</v>
      </c>
      <c r="C536" s="4">
        <v>1</v>
      </c>
    </row>
    <row r="537" spans="1:3" x14ac:dyDescent="0.3">
      <c r="A537" s="4" t="s">
        <v>166</v>
      </c>
      <c r="B537" s="4" t="s">
        <v>281</v>
      </c>
      <c r="C537" s="4">
        <v>1</v>
      </c>
    </row>
    <row r="538" spans="1:3" x14ac:dyDescent="0.3">
      <c r="A538" s="4" t="s">
        <v>166</v>
      </c>
      <c r="B538" s="4" t="s">
        <v>207</v>
      </c>
      <c r="C538" s="4">
        <v>1</v>
      </c>
    </row>
    <row r="539" spans="1:3" x14ac:dyDescent="0.3">
      <c r="A539" s="4" t="s">
        <v>166</v>
      </c>
      <c r="B539" s="4" t="s">
        <v>269</v>
      </c>
      <c r="C539" s="4">
        <v>1</v>
      </c>
    </row>
    <row r="540" spans="1:3" x14ac:dyDescent="0.3">
      <c r="A540" s="4" t="s">
        <v>166</v>
      </c>
      <c r="B540" s="4" t="s">
        <v>187</v>
      </c>
      <c r="C540" s="4">
        <v>1</v>
      </c>
    </row>
    <row r="541" spans="1:3" x14ac:dyDescent="0.3">
      <c r="A541" s="4" t="s">
        <v>166</v>
      </c>
      <c r="B541" s="4" t="s">
        <v>203</v>
      </c>
      <c r="C541" s="4">
        <v>1</v>
      </c>
    </row>
    <row r="542" spans="1:3" x14ac:dyDescent="0.3">
      <c r="A542" s="4" t="s">
        <v>166</v>
      </c>
      <c r="B542" s="4" t="s">
        <v>282</v>
      </c>
      <c r="C542" s="4">
        <v>1</v>
      </c>
    </row>
    <row r="543" spans="1:3" x14ac:dyDescent="0.3">
      <c r="A543" s="4" t="s">
        <v>166</v>
      </c>
      <c r="B543" s="4" t="s">
        <v>283</v>
      </c>
      <c r="C543" s="4">
        <v>1</v>
      </c>
    </row>
    <row r="544" spans="1:3" x14ac:dyDescent="0.3">
      <c r="A544" s="4" t="s">
        <v>166</v>
      </c>
      <c r="B544" s="4" t="s">
        <v>228</v>
      </c>
      <c r="C544" s="4">
        <v>1</v>
      </c>
    </row>
    <row r="545" spans="1:3" x14ac:dyDescent="0.3">
      <c r="A545" s="4" t="s">
        <v>166</v>
      </c>
      <c r="B545" s="4" t="s">
        <v>191</v>
      </c>
      <c r="C545" s="4">
        <v>1</v>
      </c>
    </row>
    <row r="546" spans="1:3" x14ac:dyDescent="0.3">
      <c r="A546" s="4" t="s">
        <v>166</v>
      </c>
      <c r="B546" s="4" t="s">
        <v>212</v>
      </c>
      <c r="C546" s="4">
        <v>1</v>
      </c>
    </row>
    <row r="547" spans="1:3" x14ac:dyDescent="0.3">
      <c r="A547" s="4" t="s">
        <v>166</v>
      </c>
      <c r="B547" s="4" t="s">
        <v>204</v>
      </c>
      <c r="C547" s="4">
        <v>1</v>
      </c>
    </row>
    <row r="548" spans="1:3" x14ac:dyDescent="0.3">
      <c r="A548" s="4" t="s">
        <v>166</v>
      </c>
      <c r="B548" s="4" t="s">
        <v>193</v>
      </c>
      <c r="C548" s="4">
        <v>1</v>
      </c>
    </row>
    <row r="549" spans="1:3" x14ac:dyDescent="0.3">
      <c r="A549" s="4" t="s">
        <v>166</v>
      </c>
      <c r="B549" s="4" t="s">
        <v>284</v>
      </c>
      <c r="C549" s="4">
        <v>1</v>
      </c>
    </row>
    <row r="550" spans="1:3" x14ac:dyDescent="0.3">
      <c r="A550" s="4" t="s">
        <v>166</v>
      </c>
      <c r="B550" s="4" t="s">
        <v>247</v>
      </c>
      <c r="C550" s="4">
        <v>1</v>
      </c>
    </row>
    <row r="551" spans="1:3" x14ac:dyDescent="0.3">
      <c r="A551" s="4" t="s">
        <v>166</v>
      </c>
      <c r="B551" s="4" t="s">
        <v>285</v>
      </c>
      <c r="C551" s="4">
        <v>1</v>
      </c>
    </row>
    <row r="552" spans="1:3" x14ac:dyDescent="0.3">
      <c r="A552" s="4" t="s">
        <v>166</v>
      </c>
      <c r="B552" s="4" t="s">
        <v>286</v>
      </c>
      <c r="C552" s="4">
        <v>1</v>
      </c>
    </row>
    <row r="553" spans="1:3" x14ac:dyDescent="0.3">
      <c r="A553" s="4" t="s">
        <v>166</v>
      </c>
      <c r="B553" s="4" t="s">
        <v>182</v>
      </c>
      <c r="C553" s="4">
        <v>1</v>
      </c>
    </row>
    <row r="554" spans="1:3" x14ac:dyDescent="0.3">
      <c r="A554" s="4" t="s">
        <v>166</v>
      </c>
      <c r="B554" s="4" t="s">
        <v>209</v>
      </c>
      <c r="C554" s="4">
        <v>1</v>
      </c>
    </row>
    <row r="555" spans="1:3" x14ac:dyDescent="0.3">
      <c r="A555" s="4" t="s">
        <v>166</v>
      </c>
      <c r="B555" s="4" t="s">
        <v>234</v>
      </c>
      <c r="C555" s="4">
        <v>1</v>
      </c>
    </row>
    <row r="556" spans="1:3" x14ac:dyDescent="0.3">
      <c r="A556" s="4" t="s">
        <v>166</v>
      </c>
      <c r="B556" s="4" t="s">
        <v>213</v>
      </c>
      <c r="C556" s="4">
        <v>1</v>
      </c>
    </row>
    <row r="557" spans="1:3" x14ac:dyDescent="0.3">
      <c r="A557" s="4" t="s">
        <v>166</v>
      </c>
      <c r="B557" s="4" t="s">
        <v>214</v>
      </c>
      <c r="C557" s="4">
        <v>1</v>
      </c>
    </row>
    <row r="558" spans="1:3" x14ac:dyDescent="0.3">
      <c r="A558" s="4" t="s">
        <v>166</v>
      </c>
      <c r="B558" s="4" t="s">
        <v>240</v>
      </c>
      <c r="C558" s="4">
        <v>1</v>
      </c>
    </row>
    <row r="559" spans="1:3" x14ac:dyDescent="0.3">
      <c r="A559" s="4" t="s">
        <v>166</v>
      </c>
      <c r="B559" s="4" t="s">
        <v>188</v>
      </c>
      <c r="C559" s="4">
        <v>1</v>
      </c>
    </row>
    <row r="560" spans="1:3" x14ac:dyDescent="0.3">
      <c r="A560" s="4" t="s">
        <v>287</v>
      </c>
      <c r="B560" s="4" t="s">
        <v>158</v>
      </c>
      <c r="C560" s="4">
        <v>38</v>
      </c>
    </row>
    <row r="561" spans="1:3" x14ac:dyDescent="0.3">
      <c r="A561" s="4" t="s">
        <v>287</v>
      </c>
      <c r="B561" s="4" t="s">
        <v>159</v>
      </c>
      <c r="C561" s="4">
        <v>22</v>
      </c>
    </row>
    <row r="562" spans="1:3" x14ac:dyDescent="0.3">
      <c r="A562" s="4" t="s">
        <v>287</v>
      </c>
      <c r="B562" s="4" t="s">
        <v>163</v>
      </c>
      <c r="C562" s="4">
        <v>20</v>
      </c>
    </row>
    <row r="563" spans="1:3" x14ac:dyDescent="0.3">
      <c r="A563" s="4" t="s">
        <v>287</v>
      </c>
      <c r="B563" s="4" t="s">
        <v>161</v>
      </c>
      <c r="C563" s="4">
        <v>13</v>
      </c>
    </row>
    <row r="564" spans="1:3" x14ac:dyDescent="0.3">
      <c r="A564" s="4" t="s">
        <v>287</v>
      </c>
      <c r="B564" s="4" t="s">
        <v>164</v>
      </c>
      <c r="C564" s="4">
        <v>12</v>
      </c>
    </row>
    <row r="565" spans="1:3" x14ac:dyDescent="0.3">
      <c r="A565" s="4" t="s">
        <v>287</v>
      </c>
      <c r="B565" s="4" t="s">
        <v>160</v>
      </c>
      <c r="C565" s="4">
        <v>11</v>
      </c>
    </row>
    <row r="566" spans="1:3" x14ac:dyDescent="0.3">
      <c r="A566" s="4" t="s">
        <v>287</v>
      </c>
      <c r="B566" s="4" t="s">
        <v>176</v>
      </c>
      <c r="C566" s="4">
        <v>10</v>
      </c>
    </row>
    <row r="567" spans="1:3" x14ac:dyDescent="0.3">
      <c r="A567" s="4" t="s">
        <v>287</v>
      </c>
      <c r="B567" s="4" t="s">
        <v>165</v>
      </c>
      <c r="C567" s="4">
        <v>8</v>
      </c>
    </row>
    <row r="568" spans="1:3" x14ac:dyDescent="0.3">
      <c r="A568" s="4" t="s">
        <v>287</v>
      </c>
      <c r="B568" s="4" t="s">
        <v>162</v>
      </c>
      <c r="C568" s="4">
        <v>7</v>
      </c>
    </row>
    <row r="569" spans="1:3" x14ac:dyDescent="0.3">
      <c r="A569" s="4" t="s">
        <v>287</v>
      </c>
      <c r="B569" s="4" t="s">
        <v>178</v>
      </c>
      <c r="C569" s="4">
        <v>3</v>
      </c>
    </row>
    <row r="570" spans="1:3" x14ac:dyDescent="0.3">
      <c r="A570" s="4" t="s">
        <v>287</v>
      </c>
      <c r="B570" s="4" t="s">
        <v>221</v>
      </c>
      <c r="C570" s="4">
        <v>2</v>
      </c>
    </row>
    <row r="571" spans="1:3" x14ac:dyDescent="0.3">
      <c r="A571" s="4" t="s">
        <v>287</v>
      </c>
      <c r="B571" s="4" t="s">
        <v>174</v>
      </c>
      <c r="C571" s="4">
        <v>2</v>
      </c>
    </row>
    <row r="572" spans="1:3" x14ac:dyDescent="0.3">
      <c r="A572" s="4" t="s">
        <v>287</v>
      </c>
      <c r="B572" s="4" t="s">
        <v>189</v>
      </c>
      <c r="C572" s="4">
        <v>2</v>
      </c>
    </row>
    <row r="573" spans="1:3" x14ac:dyDescent="0.3">
      <c r="A573" s="4" t="s">
        <v>287</v>
      </c>
      <c r="B573" s="4" t="s">
        <v>288</v>
      </c>
      <c r="C573" s="4">
        <v>1</v>
      </c>
    </row>
    <row r="574" spans="1:3" x14ac:dyDescent="0.3">
      <c r="A574" s="4" t="s">
        <v>287</v>
      </c>
      <c r="B574" s="4" t="s">
        <v>194</v>
      </c>
      <c r="C574" s="4">
        <v>1</v>
      </c>
    </row>
    <row r="575" spans="1:3" x14ac:dyDescent="0.3">
      <c r="A575" s="4" t="s">
        <v>287</v>
      </c>
      <c r="B575" s="4" t="s">
        <v>218</v>
      </c>
      <c r="C575" s="4">
        <v>1</v>
      </c>
    </row>
    <row r="576" spans="1:3" x14ac:dyDescent="0.3">
      <c r="A576" s="4" t="s">
        <v>287</v>
      </c>
      <c r="B576" s="4" t="s">
        <v>263</v>
      </c>
      <c r="C576" s="4">
        <v>1</v>
      </c>
    </row>
    <row r="577" spans="1:3" x14ac:dyDescent="0.3">
      <c r="A577" s="4" t="s">
        <v>287</v>
      </c>
      <c r="B577" s="4" t="s">
        <v>239</v>
      </c>
      <c r="C577" s="4">
        <v>1</v>
      </c>
    </row>
    <row r="578" spans="1:3" x14ac:dyDescent="0.3">
      <c r="A578" s="4" t="s">
        <v>287</v>
      </c>
      <c r="B578" s="4" t="s">
        <v>246</v>
      </c>
      <c r="C578" s="4">
        <v>1</v>
      </c>
    </row>
    <row r="579" spans="1:3" x14ac:dyDescent="0.3">
      <c r="A579" s="4" t="s">
        <v>287</v>
      </c>
      <c r="B579" s="4" t="s">
        <v>180</v>
      </c>
      <c r="C579" s="4">
        <v>1</v>
      </c>
    </row>
    <row r="580" spans="1:3" x14ac:dyDescent="0.3">
      <c r="A580" s="4" t="s">
        <v>287</v>
      </c>
      <c r="B580" s="4" t="s">
        <v>250</v>
      </c>
      <c r="C580" s="4">
        <v>1</v>
      </c>
    </row>
    <row r="581" spans="1:3" x14ac:dyDescent="0.3">
      <c r="A581" s="4" t="s">
        <v>287</v>
      </c>
      <c r="B581" s="4" t="s">
        <v>289</v>
      </c>
      <c r="C581" s="4">
        <v>1</v>
      </c>
    </row>
    <row r="582" spans="1:3" x14ac:dyDescent="0.3">
      <c r="A582" s="4" t="s">
        <v>287</v>
      </c>
      <c r="B582" s="4" t="s">
        <v>290</v>
      </c>
      <c r="C582" s="4">
        <v>1</v>
      </c>
    </row>
    <row r="583" spans="1:3" x14ac:dyDescent="0.3">
      <c r="A583" s="4" t="s">
        <v>287</v>
      </c>
      <c r="B583" s="4" t="s">
        <v>291</v>
      </c>
      <c r="C583" s="4">
        <v>1</v>
      </c>
    </row>
    <row r="584" spans="1:3" x14ac:dyDescent="0.3">
      <c r="A584" s="4" t="s">
        <v>172</v>
      </c>
      <c r="B584" s="4" t="s">
        <v>158</v>
      </c>
      <c r="C584" s="4">
        <v>67</v>
      </c>
    </row>
    <row r="585" spans="1:3" x14ac:dyDescent="0.3">
      <c r="A585" s="4" t="s">
        <v>172</v>
      </c>
      <c r="B585" s="4" t="s">
        <v>164</v>
      </c>
      <c r="C585" s="4">
        <v>36</v>
      </c>
    </row>
    <row r="586" spans="1:3" x14ac:dyDescent="0.3">
      <c r="A586" s="4" t="s">
        <v>172</v>
      </c>
      <c r="B586" s="4" t="s">
        <v>159</v>
      </c>
      <c r="C586" s="4">
        <v>35</v>
      </c>
    </row>
    <row r="587" spans="1:3" x14ac:dyDescent="0.3">
      <c r="A587" s="4" t="s">
        <v>172</v>
      </c>
      <c r="B587" s="4" t="s">
        <v>161</v>
      </c>
      <c r="C587" s="4">
        <v>30</v>
      </c>
    </row>
    <row r="588" spans="1:3" x14ac:dyDescent="0.3">
      <c r="A588" s="4" t="s">
        <v>172</v>
      </c>
      <c r="B588" s="4" t="s">
        <v>163</v>
      </c>
      <c r="C588" s="4">
        <v>28</v>
      </c>
    </row>
    <row r="589" spans="1:3" x14ac:dyDescent="0.3">
      <c r="A589" s="4" t="s">
        <v>172</v>
      </c>
      <c r="B589" s="4" t="s">
        <v>160</v>
      </c>
      <c r="C589" s="4">
        <v>26</v>
      </c>
    </row>
    <row r="590" spans="1:3" x14ac:dyDescent="0.3">
      <c r="A590" s="4" t="s">
        <v>172</v>
      </c>
      <c r="B590" s="4" t="s">
        <v>165</v>
      </c>
      <c r="C590" s="4">
        <v>24</v>
      </c>
    </row>
    <row r="591" spans="1:3" x14ac:dyDescent="0.3">
      <c r="A591" s="4" t="s">
        <v>172</v>
      </c>
      <c r="B591" s="4" t="s">
        <v>174</v>
      </c>
      <c r="C591" s="4">
        <v>20</v>
      </c>
    </row>
    <row r="592" spans="1:3" x14ac:dyDescent="0.3">
      <c r="A592" s="4" t="s">
        <v>172</v>
      </c>
      <c r="B592" s="4" t="s">
        <v>162</v>
      </c>
      <c r="C592" s="4">
        <v>14</v>
      </c>
    </row>
    <row r="593" spans="1:3" x14ac:dyDescent="0.3">
      <c r="A593" s="4" t="s">
        <v>172</v>
      </c>
      <c r="B593" s="4" t="s">
        <v>178</v>
      </c>
      <c r="C593" s="4">
        <v>4</v>
      </c>
    </row>
    <row r="594" spans="1:3" x14ac:dyDescent="0.3">
      <c r="A594" s="4" t="s">
        <v>172</v>
      </c>
      <c r="B594" s="4" t="s">
        <v>176</v>
      </c>
      <c r="C594" s="4">
        <v>3</v>
      </c>
    </row>
    <row r="595" spans="1:3" x14ac:dyDescent="0.3">
      <c r="A595" s="4" t="s">
        <v>172</v>
      </c>
      <c r="B595" s="4" t="s">
        <v>221</v>
      </c>
      <c r="C595" s="4">
        <v>2</v>
      </c>
    </row>
    <row r="596" spans="1:3" x14ac:dyDescent="0.3">
      <c r="A596" s="4" t="s">
        <v>172</v>
      </c>
      <c r="B596" s="4" t="s">
        <v>264</v>
      </c>
      <c r="C596" s="4">
        <v>1</v>
      </c>
    </row>
    <row r="597" spans="1:3" x14ac:dyDescent="0.3">
      <c r="A597" s="4" t="s">
        <v>172</v>
      </c>
      <c r="B597" s="4" t="s">
        <v>269</v>
      </c>
      <c r="C597" s="4">
        <v>1</v>
      </c>
    </row>
    <row r="598" spans="1:3" x14ac:dyDescent="0.3">
      <c r="A598" s="4" t="s">
        <v>172</v>
      </c>
      <c r="B598" s="4" t="s">
        <v>246</v>
      </c>
      <c r="C598" s="4">
        <v>1</v>
      </c>
    </row>
    <row r="599" spans="1:3" x14ac:dyDescent="0.3">
      <c r="A599" s="4" t="s">
        <v>172</v>
      </c>
      <c r="B599" s="4" t="s">
        <v>183</v>
      </c>
      <c r="C599" s="4">
        <v>1</v>
      </c>
    </row>
    <row r="600" spans="1:3" x14ac:dyDescent="0.3">
      <c r="A600" s="4" t="s">
        <v>172</v>
      </c>
      <c r="B600" s="4" t="s">
        <v>292</v>
      </c>
      <c r="C600" s="4">
        <v>1</v>
      </c>
    </row>
    <row r="601" spans="1:3" x14ac:dyDescent="0.3">
      <c r="A601" s="4" t="s">
        <v>172</v>
      </c>
      <c r="B601" s="4" t="s">
        <v>236</v>
      </c>
      <c r="C601" s="4">
        <v>1</v>
      </c>
    </row>
    <row r="602" spans="1:3" x14ac:dyDescent="0.3">
      <c r="A602" s="4" t="s">
        <v>172</v>
      </c>
      <c r="B602" s="4" t="s">
        <v>208</v>
      </c>
      <c r="C602" s="4">
        <v>1</v>
      </c>
    </row>
    <row r="603" spans="1:3" x14ac:dyDescent="0.3">
      <c r="A603" s="4" t="s">
        <v>172</v>
      </c>
      <c r="B603" s="4" t="s">
        <v>193</v>
      </c>
      <c r="C603" s="4">
        <v>1</v>
      </c>
    </row>
    <row r="604" spans="1:3" x14ac:dyDescent="0.3">
      <c r="A604" s="4" t="s">
        <v>172</v>
      </c>
      <c r="B604" s="4" t="s">
        <v>205</v>
      </c>
      <c r="C604" s="4">
        <v>1</v>
      </c>
    </row>
    <row r="605" spans="1:3" x14ac:dyDescent="0.3">
      <c r="A605" s="4" t="s">
        <v>172</v>
      </c>
      <c r="B605" s="4" t="s">
        <v>259</v>
      </c>
      <c r="C605" s="4">
        <v>1</v>
      </c>
    </row>
    <row r="606" spans="1:3" x14ac:dyDescent="0.3">
      <c r="A606" s="4" t="s">
        <v>172</v>
      </c>
      <c r="B606" s="4" t="s">
        <v>204</v>
      </c>
      <c r="C606" s="4">
        <v>1</v>
      </c>
    </row>
    <row r="607" spans="1:3" x14ac:dyDescent="0.3">
      <c r="A607" s="4" t="s">
        <v>172</v>
      </c>
      <c r="B607" s="4" t="s">
        <v>202</v>
      </c>
      <c r="C607" s="4">
        <v>1</v>
      </c>
    </row>
    <row r="608" spans="1:3" x14ac:dyDescent="0.3">
      <c r="A608" s="4" t="s">
        <v>172</v>
      </c>
      <c r="B608" s="4" t="s">
        <v>285</v>
      </c>
      <c r="C608" s="4">
        <v>1</v>
      </c>
    </row>
    <row r="609" spans="1:3" x14ac:dyDescent="0.3">
      <c r="A609" s="4" t="s">
        <v>172</v>
      </c>
      <c r="B609" s="4" t="s">
        <v>171</v>
      </c>
      <c r="C609" s="4">
        <v>1</v>
      </c>
    </row>
    <row r="610" spans="1:3" x14ac:dyDescent="0.3">
      <c r="A610" s="4" t="s">
        <v>172</v>
      </c>
      <c r="B610" s="4" t="s">
        <v>235</v>
      </c>
      <c r="C610" s="4">
        <v>1</v>
      </c>
    </row>
    <row r="611" spans="1:3" x14ac:dyDescent="0.3">
      <c r="A611" s="4" t="s">
        <v>172</v>
      </c>
      <c r="B611" s="4" t="s">
        <v>234</v>
      </c>
      <c r="C611" s="4">
        <v>1</v>
      </c>
    </row>
    <row r="612" spans="1:3" x14ac:dyDescent="0.3">
      <c r="A612" s="4" t="s">
        <v>172</v>
      </c>
      <c r="B612" s="4" t="s">
        <v>261</v>
      </c>
      <c r="C612" s="4">
        <v>1</v>
      </c>
    </row>
    <row r="613" spans="1:3" x14ac:dyDescent="0.3">
      <c r="A613" s="4" t="s">
        <v>172</v>
      </c>
      <c r="B613" s="4" t="s">
        <v>293</v>
      </c>
      <c r="C613" s="4">
        <v>1</v>
      </c>
    </row>
    <row r="614" spans="1:3" x14ac:dyDescent="0.3">
      <c r="A614" s="4" t="s">
        <v>172</v>
      </c>
      <c r="B614" s="4" t="s">
        <v>195</v>
      </c>
      <c r="C614" s="4">
        <v>1</v>
      </c>
    </row>
    <row r="615" spans="1:3" x14ac:dyDescent="0.3">
      <c r="A615" s="4" t="s">
        <v>172</v>
      </c>
      <c r="B615" s="4" t="s">
        <v>272</v>
      </c>
      <c r="C615" s="4">
        <v>1</v>
      </c>
    </row>
    <row r="616" spans="1:3" x14ac:dyDescent="0.3">
      <c r="A616" s="4" t="s">
        <v>294</v>
      </c>
      <c r="B616" s="4" t="s">
        <v>176</v>
      </c>
      <c r="C616" s="4">
        <v>22</v>
      </c>
    </row>
    <row r="617" spans="1:3" x14ac:dyDescent="0.3">
      <c r="A617" s="4" t="s">
        <v>294</v>
      </c>
      <c r="B617" s="4" t="s">
        <v>158</v>
      </c>
      <c r="C617" s="4">
        <v>12</v>
      </c>
    </row>
    <row r="618" spans="1:3" x14ac:dyDescent="0.3">
      <c r="A618" s="4" t="s">
        <v>294</v>
      </c>
      <c r="B618" s="4" t="s">
        <v>160</v>
      </c>
      <c r="C618" s="4">
        <v>6</v>
      </c>
    </row>
    <row r="619" spans="1:3" x14ac:dyDescent="0.3">
      <c r="A619" s="4" t="s">
        <v>294</v>
      </c>
      <c r="B619" s="4" t="s">
        <v>159</v>
      </c>
      <c r="C619" s="4">
        <v>6</v>
      </c>
    </row>
    <row r="620" spans="1:3" x14ac:dyDescent="0.3">
      <c r="A620" s="4" t="s">
        <v>294</v>
      </c>
      <c r="B620" s="4" t="s">
        <v>163</v>
      </c>
      <c r="C620" s="4">
        <v>5</v>
      </c>
    </row>
    <row r="621" spans="1:3" x14ac:dyDescent="0.3">
      <c r="A621" s="4" t="s">
        <v>294</v>
      </c>
      <c r="B621" s="4" t="s">
        <v>161</v>
      </c>
      <c r="C621" s="4">
        <v>5</v>
      </c>
    </row>
    <row r="622" spans="1:3" x14ac:dyDescent="0.3">
      <c r="A622" s="4" t="s">
        <v>294</v>
      </c>
      <c r="B622" s="4" t="s">
        <v>180</v>
      </c>
      <c r="C622" s="4">
        <v>2</v>
      </c>
    </row>
    <row r="623" spans="1:3" x14ac:dyDescent="0.3">
      <c r="A623" s="4" t="s">
        <v>294</v>
      </c>
      <c r="B623" s="4" t="s">
        <v>162</v>
      </c>
      <c r="C623" s="4">
        <v>2</v>
      </c>
    </row>
    <row r="624" spans="1:3" x14ac:dyDescent="0.3">
      <c r="A624" s="4" t="s">
        <v>294</v>
      </c>
      <c r="B624" s="4" t="s">
        <v>164</v>
      </c>
      <c r="C624" s="4">
        <v>1</v>
      </c>
    </row>
    <row r="625" spans="1:3" x14ac:dyDescent="0.3">
      <c r="A625" s="4" t="s">
        <v>294</v>
      </c>
      <c r="B625" s="4" t="s">
        <v>174</v>
      </c>
      <c r="C625" s="4">
        <v>1</v>
      </c>
    </row>
    <row r="626" spans="1:3" x14ac:dyDescent="0.3">
      <c r="A626" s="4" t="s">
        <v>294</v>
      </c>
      <c r="B626" s="4" t="s">
        <v>165</v>
      </c>
      <c r="C626" s="4">
        <v>1</v>
      </c>
    </row>
    <row r="627" spans="1:3" x14ac:dyDescent="0.3">
      <c r="A627" s="4" t="s">
        <v>294</v>
      </c>
      <c r="B627" s="4" t="s">
        <v>280</v>
      </c>
      <c r="C627" s="4">
        <v>1</v>
      </c>
    </row>
    <row r="628" spans="1:3" x14ac:dyDescent="0.3">
      <c r="A628" s="4" t="s">
        <v>295</v>
      </c>
      <c r="B628" s="4" t="s">
        <v>158</v>
      </c>
      <c r="C628" s="4">
        <v>31</v>
      </c>
    </row>
    <row r="629" spans="1:3" x14ac:dyDescent="0.3">
      <c r="A629" s="4" t="s">
        <v>295</v>
      </c>
      <c r="B629" s="4" t="s">
        <v>159</v>
      </c>
      <c r="C629" s="4">
        <v>14</v>
      </c>
    </row>
    <row r="630" spans="1:3" x14ac:dyDescent="0.3">
      <c r="A630" s="4" t="s">
        <v>295</v>
      </c>
      <c r="B630" s="4" t="s">
        <v>160</v>
      </c>
      <c r="C630" s="4">
        <v>12</v>
      </c>
    </row>
    <row r="631" spans="1:3" x14ac:dyDescent="0.3">
      <c r="A631" s="4" t="s">
        <v>295</v>
      </c>
      <c r="B631" s="4" t="s">
        <v>161</v>
      </c>
      <c r="C631" s="4">
        <v>8</v>
      </c>
    </row>
    <row r="632" spans="1:3" x14ac:dyDescent="0.3">
      <c r="A632" s="4" t="s">
        <v>295</v>
      </c>
      <c r="B632" s="4" t="s">
        <v>164</v>
      </c>
      <c r="C632" s="4">
        <v>7</v>
      </c>
    </row>
    <row r="633" spans="1:3" x14ac:dyDescent="0.3">
      <c r="A633" s="4" t="s">
        <v>295</v>
      </c>
      <c r="B633" s="4" t="s">
        <v>176</v>
      </c>
      <c r="C633" s="4">
        <v>6</v>
      </c>
    </row>
    <row r="634" spans="1:3" x14ac:dyDescent="0.3">
      <c r="A634" s="4" t="s">
        <v>295</v>
      </c>
      <c r="B634" s="4" t="s">
        <v>163</v>
      </c>
      <c r="C634" s="4">
        <v>5</v>
      </c>
    </row>
    <row r="635" spans="1:3" x14ac:dyDescent="0.3">
      <c r="A635" s="4" t="s">
        <v>295</v>
      </c>
      <c r="B635" s="4" t="s">
        <v>180</v>
      </c>
      <c r="C635" s="4">
        <v>4</v>
      </c>
    </row>
    <row r="636" spans="1:3" x14ac:dyDescent="0.3">
      <c r="A636" s="4" t="s">
        <v>295</v>
      </c>
      <c r="B636" s="4" t="s">
        <v>162</v>
      </c>
      <c r="C636" s="4">
        <v>4</v>
      </c>
    </row>
    <row r="637" spans="1:3" x14ac:dyDescent="0.3">
      <c r="A637" s="4" t="s">
        <v>295</v>
      </c>
      <c r="B637" s="4" t="s">
        <v>184</v>
      </c>
      <c r="C637" s="4">
        <v>2</v>
      </c>
    </row>
    <row r="638" spans="1:3" x14ac:dyDescent="0.3">
      <c r="A638" s="4" t="s">
        <v>295</v>
      </c>
      <c r="B638" s="4" t="s">
        <v>174</v>
      </c>
      <c r="C638" s="4">
        <v>2</v>
      </c>
    </row>
    <row r="639" spans="1:3" x14ac:dyDescent="0.3">
      <c r="A639" s="4" t="s">
        <v>295</v>
      </c>
      <c r="B639" s="4" t="s">
        <v>183</v>
      </c>
      <c r="C639" s="4">
        <v>2</v>
      </c>
    </row>
    <row r="640" spans="1:3" x14ac:dyDescent="0.3">
      <c r="A640" s="4" t="s">
        <v>295</v>
      </c>
      <c r="B640" s="4" t="s">
        <v>165</v>
      </c>
      <c r="C640" s="4">
        <v>2</v>
      </c>
    </row>
    <row r="641" spans="1:3" x14ac:dyDescent="0.3">
      <c r="A641" s="4" t="s">
        <v>295</v>
      </c>
      <c r="B641" s="4" t="s">
        <v>189</v>
      </c>
      <c r="C641" s="4">
        <v>2</v>
      </c>
    </row>
    <row r="642" spans="1:3" x14ac:dyDescent="0.3">
      <c r="A642" s="4" t="s">
        <v>295</v>
      </c>
      <c r="B642" s="4" t="s">
        <v>203</v>
      </c>
      <c r="C642" s="4">
        <v>1</v>
      </c>
    </row>
    <row r="643" spans="1:3" x14ac:dyDescent="0.3">
      <c r="A643" s="4" t="s">
        <v>295</v>
      </c>
      <c r="B643" s="4" t="s">
        <v>240</v>
      </c>
      <c r="C643" s="4">
        <v>1</v>
      </c>
    </row>
    <row r="644" spans="1:3" x14ac:dyDescent="0.3">
      <c r="A644" s="4" t="s">
        <v>295</v>
      </c>
      <c r="B644" s="4" t="s">
        <v>226</v>
      </c>
      <c r="C644" s="4">
        <v>1</v>
      </c>
    </row>
    <row r="645" spans="1:3" x14ac:dyDescent="0.3">
      <c r="A645" s="4" t="s">
        <v>295</v>
      </c>
      <c r="B645" s="4" t="s">
        <v>187</v>
      </c>
      <c r="C645" s="4">
        <v>1</v>
      </c>
    </row>
    <row r="646" spans="1:3" x14ac:dyDescent="0.3">
      <c r="A646" s="4" t="s">
        <v>295</v>
      </c>
      <c r="B646" s="4" t="s">
        <v>252</v>
      </c>
      <c r="C646" s="4">
        <v>1</v>
      </c>
    </row>
    <row r="647" spans="1:3" x14ac:dyDescent="0.3">
      <c r="A647" s="4" t="s">
        <v>296</v>
      </c>
      <c r="B647" s="4" t="s">
        <v>176</v>
      </c>
      <c r="C647" s="4">
        <v>59</v>
      </c>
    </row>
    <row r="648" spans="1:3" x14ac:dyDescent="0.3">
      <c r="A648" s="4" t="s">
        <v>296</v>
      </c>
      <c r="B648" s="4" t="s">
        <v>158</v>
      </c>
      <c r="C648" s="4">
        <v>38</v>
      </c>
    </row>
    <row r="649" spans="1:3" x14ac:dyDescent="0.3">
      <c r="A649" s="4" t="s">
        <v>296</v>
      </c>
      <c r="B649" s="4" t="s">
        <v>163</v>
      </c>
      <c r="C649" s="4">
        <v>14</v>
      </c>
    </row>
    <row r="650" spans="1:3" x14ac:dyDescent="0.3">
      <c r="A650" s="4" t="s">
        <v>296</v>
      </c>
      <c r="B650" s="4" t="s">
        <v>159</v>
      </c>
      <c r="C650" s="4">
        <v>12</v>
      </c>
    </row>
    <row r="651" spans="1:3" x14ac:dyDescent="0.3">
      <c r="A651" s="4" t="s">
        <v>296</v>
      </c>
      <c r="B651" s="4" t="s">
        <v>160</v>
      </c>
      <c r="C651" s="4">
        <v>11</v>
      </c>
    </row>
    <row r="652" spans="1:3" x14ac:dyDescent="0.3">
      <c r="A652" s="4" t="s">
        <v>296</v>
      </c>
      <c r="B652" s="4" t="s">
        <v>162</v>
      </c>
      <c r="C652" s="4">
        <v>10</v>
      </c>
    </row>
    <row r="653" spans="1:3" x14ac:dyDescent="0.3">
      <c r="A653" s="4" t="s">
        <v>296</v>
      </c>
      <c r="B653" s="4" t="s">
        <v>161</v>
      </c>
      <c r="C653" s="4">
        <v>9</v>
      </c>
    </row>
    <row r="654" spans="1:3" x14ac:dyDescent="0.3">
      <c r="A654" s="4" t="s">
        <v>296</v>
      </c>
      <c r="B654" s="4" t="s">
        <v>174</v>
      </c>
      <c r="C654" s="4">
        <v>9</v>
      </c>
    </row>
    <row r="655" spans="1:3" x14ac:dyDescent="0.3">
      <c r="A655" s="4" t="s">
        <v>296</v>
      </c>
      <c r="B655" s="4" t="s">
        <v>180</v>
      </c>
      <c r="C655" s="4">
        <v>6</v>
      </c>
    </row>
    <row r="656" spans="1:3" x14ac:dyDescent="0.3">
      <c r="A656" s="4" t="s">
        <v>296</v>
      </c>
      <c r="B656" s="4" t="s">
        <v>165</v>
      </c>
      <c r="C656" s="4">
        <v>6</v>
      </c>
    </row>
    <row r="657" spans="1:3" x14ac:dyDescent="0.3">
      <c r="A657" s="4" t="s">
        <v>296</v>
      </c>
      <c r="B657" s="4" t="s">
        <v>171</v>
      </c>
      <c r="C657" s="4">
        <v>3</v>
      </c>
    </row>
    <row r="658" spans="1:3" x14ac:dyDescent="0.3">
      <c r="A658" s="4" t="s">
        <v>296</v>
      </c>
      <c r="B658" s="4" t="s">
        <v>183</v>
      </c>
      <c r="C658" s="4">
        <v>2</v>
      </c>
    </row>
    <row r="659" spans="1:3" x14ac:dyDescent="0.3">
      <c r="A659" s="4" t="s">
        <v>296</v>
      </c>
      <c r="B659" s="4" t="s">
        <v>164</v>
      </c>
      <c r="C659" s="4">
        <v>2</v>
      </c>
    </row>
    <row r="660" spans="1:3" x14ac:dyDescent="0.3">
      <c r="A660" s="4" t="s">
        <v>296</v>
      </c>
      <c r="B660" s="4" t="s">
        <v>239</v>
      </c>
      <c r="C660" s="4">
        <v>1</v>
      </c>
    </row>
    <row r="661" spans="1:3" x14ac:dyDescent="0.3">
      <c r="A661" s="4" t="s">
        <v>296</v>
      </c>
      <c r="B661" s="4" t="s">
        <v>297</v>
      </c>
      <c r="C661" s="4">
        <v>1</v>
      </c>
    </row>
    <row r="662" spans="1:3" x14ac:dyDescent="0.3">
      <c r="A662" s="4" t="s">
        <v>296</v>
      </c>
      <c r="B662" s="4" t="s">
        <v>202</v>
      </c>
      <c r="C662" s="4">
        <v>1</v>
      </c>
    </row>
    <row r="663" spans="1:3" x14ac:dyDescent="0.3">
      <c r="A663" s="4" t="s">
        <v>296</v>
      </c>
      <c r="B663" s="4" t="s">
        <v>280</v>
      </c>
      <c r="C663" s="4">
        <v>1</v>
      </c>
    </row>
    <row r="664" spans="1:3" x14ac:dyDescent="0.3">
      <c r="A664" s="4" t="s">
        <v>296</v>
      </c>
      <c r="B664" s="4" t="s">
        <v>226</v>
      </c>
      <c r="C664" s="4">
        <v>1</v>
      </c>
    </row>
    <row r="665" spans="1:3" x14ac:dyDescent="0.3">
      <c r="A665" s="4" t="s">
        <v>177</v>
      </c>
      <c r="B665" s="4" t="s">
        <v>158</v>
      </c>
      <c r="C665" s="4">
        <v>42</v>
      </c>
    </row>
    <row r="666" spans="1:3" x14ac:dyDescent="0.3">
      <c r="A666" s="4" t="s">
        <v>177</v>
      </c>
      <c r="B666" s="4" t="s">
        <v>161</v>
      </c>
      <c r="C666" s="4">
        <v>28</v>
      </c>
    </row>
    <row r="667" spans="1:3" x14ac:dyDescent="0.3">
      <c r="A667" s="4" t="s">
        <v>177</v>
      </c>
      <c r="B667" s="4" t="s">
        <v>159</v>
      </c>
      <c r="C667" s="4">
        <v>25</v>
      </c>
    </row>
    <row r="668" spans="1:3" x14ac:dyDescent="0.3">
      <c r="A668" s="4" t="s">
        <v>177</v>
      </c>
      <c r="B668" s="4" t="s">
        <v>164</v>
      </c>
      <c r="C668" s="4">
        <v>23</v>
      </c>
    </row>
    <row r="669" spans="1:3" x14ac:dyDescent="0.3">
      <c r="A669" s="4" t="s">
        <v>177</v>
      </c>
      <c r="B669" s="4" t="s">
        <v>160</v>
      </c>
      <c r="C669" s="4">
        <v>22</v>
      </c>
    </row>
    <row r="670" spans="1:3" x14ac:dyDescent="0.3">
      <c r="A670" s="4" t="s">
        <v>177</v>
      </c>
      <c r="B670" s="4" t="s">
        <v>162</v>
      </c>
      <c r="C670" s="4">
        <v>21</v>
      </c>
    </row>
    <row r="671" spans="1:3" x14ac:dyDescent="0.3">
      <c r="A671" s="4" t="s">
        <v>177</v>
      </c>
      <c r="B671" s="4" t="s">
        <v>163</v>
      </c>
      <c r="C671" s="4">
        <v>20</v>
      </c>
    </row>
    <row r="672" spans="1:3" x14ac:dyDescent="0.3">
      <c r="A672" s="4" t="s">
        <v>177</v>
      </c>
      <c r="B672" s="4" t="s">
        <v>165</v>
      </c>
      <c r="C672" s="4">
        <v>19</v>
      </c>
    </row>
    <row r="673" spans="1:3" x14ac:dyDescent="0.3">
      <c r="A673" s="4" t="s">
        <v>177</v>
      </c>
      <c r="B673" s="4" t="s">
        <v>174</v>
      </c>
      <c r="C673" s="4">
        <v>15</v>
      </c>
    </row>
    <row r="674" spans="1:3" x14ac:dyDescent="0.3">
      <c r="A674" s="4" t="s">
        <v>177</v>
      </c>
      <c r="B674" s="4" t="s">
        <v>183</v>
      </c>
      <c r="C674" s="4">
        <v>4</v>
      </c>
    </row>
    <row r="675" spans="1:3" x14ac:dyDescent="0.3">
      <c r="A675" s="4" t="s">
        <v>177</v>
      </c>
      <c r="B675" s="4" t="s">
        <v>204</v>
      </c>
      <c r="C675" s="4">
        <v>3</v>
      </c>
    </row>
    <row r="676" spans="1:3" x14ac:dyDescent="0.3">
      <c r="A676" s="4" t="s">
        <v>177</v>
      </c>
      <c r="B676" s="4" t="s">
        <v>252</v>
      </c>
      <c r="C676" s="4">
        <v>1</v>
      </c>
    </row>
    <row r="677" spans="1:3" x14ac:dyDescent="0.3">
      <c r="A677" s="4" t="s">
        <v>177</v>
      </c>
      <c r="B677" s="4" t="s">
        <v>258</v>
      </c>
      <c r="C677" s="4">
        <v>1</v>
      </c>
    </row>
    <row r="678" spans="1:3" x14ac:dyDescent="0.3">
      <c r="A678" s="4" t="s">
        <v>177</v>
      </c>
      <c r="B678" s="4" t="s">
        <v>178</v>
      </c>
      <c r="C678" s="4">
        <v>1</v>
      </c>
    </row>
    <row r="679" spans="1:3" x14ac:dyDescent="0.3">
      <c r="A679" s="4" t="s">
        <v>177</v>
      </c>
      <c r="B679" s="4" t="s">
        <v>236</v>
      </c>
      <c r="C679" s="4">
        <v>1</v>
      </c>
    </row>
    <row r="680" spans="1:3" x14ac:dyDescent="0.3">
      <c r="A680" s="4" t="s">
        <v>177</v>
      </c>
      <c r="B680" s="4" t="s">
        <v>193</v>
      </c>
      <c r="C680" s="4">
        <v>1</v>
      </c>
    </row>
    <row r="681" spans="1:3" x14ac:dyDescent="0.3">
      <c r="A681" s="4" t="s">
        <v>177</v>
      </c>
      <c r="B681" s="4" t="s">
        <v>234</v>
      </c>
      <c r="C681" s="4">
        <v>1</v>
      </c>
    </row>
    <row r="682" spans="1:3" x14ac:dyDescent="0.3">
      <c r="A682" s="4" t="s">
        <v>177</v>
      </c>
      <c r="B682" s="4" t="s">
        <v>238</v>
      </c>
      <c r="C682" s="4">
        <v>1</v>
      </c>
    </row>
    <row r="683" spans="1:3" x14ac:dyDescent="0.3">
      <c r="A683" s="4" t="s">
        <v>177</v>
      </c>
      <c r="B683" s="4" t="s">
        <v>261</v>
      </c>
      <c r="C683" s="4">
        <v>1</v>
      </c>
    </row>
    <row r="684" spans="1:3" x14ac:dyDescent="0.3">
      <c r="A684" s="4" t="s">
        <v>177</v>
      </c>
      <c r="B684" s="4" t="s">
        <v>257</v>
      </c>
      <c r="C684" s="4">
        <v>1</v>
      </c>
    </row>
    <row r="685" spans="1:3" x14ac:dyDescent="0.3">
      <c r="A685" s="4" t="s">
        <v>177</v>
      </c>
      <c r="B685" s="4" t="s">
        <v>214</v>
      </c>
      <c r="C685" s="4">
        <v>1</v>
      </c>
    </row>
    <row r="686" spans="1:3" x14ac:dyDescent="0.3">
      <c r="A686" s="4" t="s">
        <v>168</v>
      </c>
      <c r="B686" s="4" t="s">
        <v>158</v>
      </c>
      <c r="C686" s="4">
        <v>125</v>
      </c>
    </row>
    <row r="687" spans="1:3" x14ac:dyDescent="0.3">
      <c r="A687" s="4" t="s">
        <v>168</v>
      </c>
      <c r="B687" s="4" t="s">
        <v>159</v>
      </c>
      <c r="C687" s="4">
        <v>70</v>
      </c>
    </row>
    <row r="688" spans="1:3" x14ac:dyDescent="0.3">
      <c r="A688" s="4" t="s">
        <v>168</v>
      </c>
      <c r="B688" s="4" t="s">
        <v>161</v>
      </c>
      <c r="C688" s="4">
        <v>54</v>
      </c>
    </row>
    <row r="689" spans="1:3" x14ac:dyDescent="0.3">
      <c r="A689" s="4" t="s">
        <v>168</v>
      </c>
      <c r="B689" s="4" t="s">
        <v>163</v>
      </c>
      <c r="C689" s="4">
        <v>52</v>
      </c>
    </row>
    <row r="690" spans="1:3" x14ac:dyDescent="0.3">
      <c r="A690" s="4" t="s">
        <v>168</v>
      </c>
      <c r="B690" s="4" t="s">
        <v>160</v>
      </c>
      <c r="C690" s="4">
        <v>51</v>
      </c>
    </row>
    <row r="691" spans="1:3" x14ac:dyDescent="0.3">
      <c r="A691" s="4" t="s">
        <v>168</v>
      </c>
      <c r="B691" s="4" t="s">
        <v>162</v>
      </c>
      <c r="C691" s="4">
        <v>49</v>
      </c>
    </row>
    <row r="692" spans="1:3" x14ac:dyDescent="0.3">
      <c r="A692" s="4" t="s">
        <v>168</v>
      </c>
      <c r="B692" s="4" t="s">
        <v>176</v>
      </c>
      <c r="C692" s="4">
        <v>42</v>
      </c>
    </row>
    <row r="693" spans="1:3" x14ac:dyDescent="0.3">
      <c r="A693" s="4" t="s">
        <v>168</v>
      </c>
      <c r="B693" s="4" t="s">
        <v>164</v>
      </c>
      <c r="C693" s="4">
        <v>28</v>
      </c>
    </row>
    <row r="694" spans="1:3" x14ac:dyDescent="0.3">
      <c r="A694" s="4" t="s">
        <v>168</v>
      </c>
      <c r="B694" s="4" t="s">
        <v>174</v>
      </c>
      <c r="C694" s="4">
        <v>25</v>
      </c>
    </row>
    <row r="695" spans="1:3" x14ac:dyDescent="0.3">
      <c r="A695" s="4" t="s">
        <v>168</v>
      </c>
      <c r="B695" s="4" t="s">
        <v>165</v>
      </c>
      <c r="C695" s="4">
        <v>20</v>
      </c>
    </row>
    <row r="696" spans="1:3" x14ac:dyDescent="0.3">
      <c r="A696" s="4" t="s">
        <v>168</v>
      </c>
      <c r="B696" s="4" t="s">
        <v>183</v>
      </c>
      <c r="C696" s="4">
        <v>6</v>
      </c>
    </row>
    <row r="697" spans="1:3" x14ac:dyDescent="0.3">
      <c r="A697" s="4" t="s">
        <v>168</v>
      </c>
      <c r="B697" s="4" t="s">
        <v>180</v>
      </c>
      <c r="C697" s="4">
        <v>5</v>
      </c>
    </row>
    <row r="698" spans="1:3" x14ac:dyDescent="0.3">
      <c r="A698" s="4" t="s">
        <v>168</v>
      </c>
      <c r="B698" s="4" t="s">
        <v>252</v>
      </c>
      <c r="C698" s="4">
        <v>3</v>
      </c>
    </row>
    <row r="699" spans="1:3" x14ac:dyDescent="0.3">
      <c r="A699" s="4" t="s">
        <v>168</v>
      </c>
      <c r="B699" s="4" t="s">
        <v>178</v>
      </c>
      <c r="C699" s="4">
        <v>3</v>
      </c>
    </row>
    <row r="700" spans="1:3" x14ac:dyDescent="0.3">
      <c r="A700" s="4" t="s">
        <v>168</v>
      </c>
      <c r="B700" s="4" t="s">
        <v>257</v>
      </c>
      <c r="C700" s="4">
        <v>3</v>
      </c>
    </row>
    <row r="701" spans="1:3" x14ac:dyDescent="0.3">
      <c r="A701" s="4" t="s">
        <v>168</v>
      </c>
      <c r="B701" s="4" t="s">
        <v>171</v>
      </c>
      <c r="C701" s="4">
        <v>3</v>
      </c>
    </row>
    <row r="702" spans="1:3" x14ac:dyDescent="0.3">
      <c r="A702" s="4" t="s">
        <v>168</v>
      </c>
      <c r="B702" s="4" t="s">
        <v>250</v>
      </c>
      <c r="C702" s="4">
        <v>2</v>
      </c>
    </row>
    <row r="703" spans="1:3" x14ac:dyDescent="0.3">
      <c r="A703" s="4" t="s">
        <v>168</v>
      </c>
      <c r="B703" s="4" t="s">
        <v>238</v>
      </c>
      <c r="C703" s="4">
        <v>2</v>
      </c>
    </row>
    <row r="704" spans="1:3" x14ac:dyDescent="0.3">
      <c r="A704" s="4" t="s">
        <v>168</v>
      </c>
      <c r="B704" s="4" t="s">
        <v>189</v>
      </c>
      <c r="C704" s="4">
        <v>2</v>
      </c>
    </row>
    <row r="705" spans="1:3" x14ac:dyDescent="0.3">
      <c r="A705" s="4" t="s">
        <v>168</v>
      </c>
      <c r="B705" s="4" t="s">
        <v>234</v>
      </c>
      <c r="C705" s="4">
        <v>2</v>
      </c>
    </row>
    <row r="706" spans="1:3" x14ac:dyDescent="0.3">
      <c r="A706" s="4" t="s">
        <v>168</v>
      </c>
      <c r="B706" s="4" t="s">
        <v>275</v>
      </c>
      <c r="C706" s="4">
        <v>2</v>
      </c>
    </row>
    <row r="707" spans="1:3" x14ac:dyDescent="0.3">
      <c r="A707" s="4" t="s">
        <v>168</v>
      </c>
      <c r="B707" s="4" t="s">
        <v>195</v>
      </c>
      <c r="C707" s="4">
        <v>2</v>
      </c>
    </row>
    <row r="708" spans="1:3" x14ac:dyDescent="0.3">
      <c r="A708" s="4" t="s">
        <v>168</v>
      </c>
      <c r="B708" s="4" t="s">
        <v>220</v>
      </c>
      <c r="C708" s="4">
        <v>2</v>
      </c>
    </row>
    <row r="709" spans="1:3" x14ac:dyDescent="0.3">
      <c r="A709" s="4" t="s">
        <v>168</v>
      </c>
      <c r="B709" s="4" t="s">
        <v>194</v>
      </c>
      <c r="C709" s="4">
        <v>1</v>
      </c>
    </row>
    <row r="710" spans="1:3" x14ac:dyDescent="0.3">
      <c r="A710" s="4" t="s">
        <v>168</v>
      </c>
      <c r="B710" s="4" t="s">
        <v>298</v>
      </c>
      <c r="C710" s="4">
        <v>1</v>
      </c>
    </row>
    <row r="711" spans="1:3" x14ac:dyDescent="0.3">
      <c r="A711" s="4" t="s">
        <v>168</v>
      </c>
      <c r="B711" s="4" t="s">
        <v>214</v>
      </c>
      <c r="C711" s="4">
        <v>1</v>
      </c>
    </row>
    <row r="712" spans="1:3" x14ac:dyDescent="0.3">
      <c r="A712" s="4" t="s">
        <v>168</v>
      </c>
      <c r="B712" s="4" t="s">
        <v>232</v>
      </c>
      <c r="C712" s="4">
        <v>1</v>
      </c>
    </row>
    <row r="713" spans="1:3" x14ac:dyDescent="0.3">
      <c r="A713" s="4" t="s">
        <v>168</v>
      </c>
      <c r="B713" s="4" t="s">
        <v>261</v>
      </c>
      <c r="C713" s="4">
        <v>1</v>
      </c>
    </row>
    <row r="714" spans="1:3" x14ac:dyDescent="0.3">
      <c r="A714" s="4" t="s">
        <v>168</v>
      </c>
      <c r="B714" s="4" t="s">
        <v>228</v>
      </c>
      <c r="C714" s="4">
        <v>1</v>
      </c>
    </row>
    <row r="715" spans="1:3" x14ac:dyDescent="0.3">
      <c r="A715" s="4" t="s">
        <v>168</v>
      </c>
      <c r="B715" s="4" t="s">
        <v>192</v>
      </c>
      <c r="C715" s="4">
        <v>1</v>
      </c>
    </row>
    <row r="716" spans="1:3" x14ac:dyDescent="0.3">
      <c r="A716" s="4" t="s">
        <v>168</v>
      </c>
      <c r="B716" s="4" t="s">
        <v>299</v>
      </c>
      <c r="C716" s="4">
        <v>1</v>
      </c>
    </row>
    <row r="717" spans="1:3" x14ac:dyDescent="0.3">
      <c r="A717" s="4" t="s">
        <v>168</v>
      </c>
      <c r="B717" s="4" t="s">
        <v>182</v>
      </c>
      <c r="C717" s="4">
        <v>1</v>
      </c>
    </row>
    <row r="718" spans="1:3" x14ac:dyDescent="0.3">
      <c r="A718" s="4" t="s">
        <v>168</v>
      </c>
      <c r="B718" s="4" t="s">
        <v>226</v>
      </c>
      <c r="C718" s="4">
        <v>1</v>
      </c>
    </row>
    <row r="719" spans="1:3" x14ac:dyDescent="0.3">
      <c r="A719" s="4" t="s">
        <v>168</v>
      </c>
      <c r="B719" s="4" t="s">
        <v>207</v>
      </c>
      <c r="C719" s="4">
        <v>1</v>
      </c>
    </row>
    <row r="720" spans="1:3" x14ac:dyDescent="0.3">
      <c r="A720" s="4" t="s">
        <v>168</v>
      </c>
      <c r="B720" s="4" t="s">
        <v>286</v>
      </c>
      <c r="C720" s="4">
        <v>1</v>
      </c>
    </row>
    <row r="721" spans="1:3" x14ac:dyDescent="0.3">
      <c r="A721" s="4" t="s">
        <v>168</v>
      </c>
      <c r="B721" s="4" t="s">
        <v>247</v>
      </c>
      <c r="C721" s="4">
        <v>1</v>
      </c>
    </row>
    <row r="722" spans="1:3" x14ac:dyDescent="0.3">
      <c r="A722" s="4" t="s">
        <v>168</v>
      </c>
      <c r="B722" s="4" t="s">
        <v>205</v>
      </c>
      <c r="C722" s="4">
        <v>1</v>
      </c>
    </row>
    <row r="723" spans="1:3" x14ac:dyDescent="0.3">
      <c r="A723" s="4" t="s">
        <v>168</v>
      </c>
      <c r="B723" s="4" t="s">
        <v>187</v>
      </c>
      <c r="C723" s="4">
        <v>1</v>
      </c>
    </row>
    <row r="724" spans="1:3" x14ac:dyDescent="0.3">
      <c r="A724" s="4" t="s">
        <v>168</v>
      </c>
      <c r="B724" s="4" t="s">
        <v>242</v>
      </c>
      <c r="C724" s="4">
        <v>1</v>
      </c>
    </row>
    <row r="725" spans="1:3" x14ac:dyDescent="0.3">
      <c r="A725" s="4" t="s">
        <v>168</v>
      </c>
      <c r="B725" s="4" t="s">
        <v>204</v>
      </c>
      <c r="C725" s="4">
        <v>1</v>
      </c>
    </row>
    <row r="726" spans="1:3" x14ac:dyDescent="0.3">
      <c r="A726" s="4" t="s">
        <v>168</v>
      </c>
      <c r="B726" s="4" t="s">
        <v>277</v>
      </c>
      <c r="C726" s="4">
        <v>1</v>
      </c>
    </row>
    <row r="727" spans="1:3" x14ac:dyDescent="0.3">
      <c r="A727" s="4" t="s">
        <v>168</v>
      </c>
      <c r="B727" s="4" t="s">
        <v>280</v>
      </c>
      <c r="C727" s="4">
        <v>1</v>
      </c>
    </row>
    <row r="728" spans="1:3" x14ac:dyDescent="0.3">
      <c r="A728" s="4" t="s">
        <v>168</v>
      </c>
      <c r="B728" s="4" t="s">
        <v>184</v>
      </c>
      <c r="C728" s="4">
        <v>1</v>
      </c>
    </row>
    <row r="729" spans="1:3" x14ac:dyDescent="0.3">
      <c r="A729" s="4" t="s">
        <v>168</v>
      </c>
      <c r="B729" s="4" t="s">
        <v>200</v>
      </c>
      <c r="C729" s="4">
        <v>1</v>
      </c>
    </row>
    <row r="730" spans="1:3" x14ac:dyDescent="0.3">
      <c r="A730" s="4" t="s">
        <v>168</v>
      </c>
      <c r="B730" s="4" t="s">
        <v>203</v>
      </c>
      <c r="C730" s="4">
        <v>1</v>
      </c>
    </row>
    <row r="731" spans="1:3" x14ac:dyDescent="0.3">
      <c r="A731" s="4" t="s">
        <v>300</v>
      </c>
      <c r="B731" s="4" t="s">
        <v>158</v>
      </c>
      <c r="C731" s="4">
        <v>21</v>
      </c>
    </row>
    <row r="732" spans="1:3" x14ac:dyDescent="0.3">
      <c r="A732" s="4" t="s">
        <v>300</v>
      </c>
      <c r="B732" s="4" t="s">
        <v>162</v>
      </c>
      <c r="C732" s="4">
        <v>11</v>
      </c>
    </row>
    <row r="733" spans="1:3" x14ac:dyDescent="0.3">
      <c r="A733" s="4" t="s">
        <v>300</v>
      </c>
      <c r="B733" s="4" t="s">
        <v>163</v>
      </c>
      <c r="C733" s="4">
        <v>11</v>
      </c>
    </row>
    <row r="734" spans="1:3" x14ac:dyDescent="0.3">
      <c r="A734" s="4" t="s">
        <v>300</v>
      </c>
      <c r="B734" s="4" t="s">
        <v>159</v>
      </c>
      <c r="C734" s="4">
        <v>9</v>
      </c>
    </row>
    <row r="735" spans="1:3" x14ac:dyDescent="0.3">
      <c r="A735" s="4" t="s">
        <v>300</v>
      </c>
      <c r="B735" s="4" t="s">
        <v>160</v>
      </c>
      <c r="C735" s="4">
        <v>6</v>
      </c>
    </row>
    <row r="736" spans="1:3" x14ac:dyDescent="0.3">
      <c r="A736" s="4" t="s">
        <v>300</v>
      </c>
      <c r="B736" s="4" t="s">
        <v>176</v>
      </c>
      <c r="C736" s="4">
        <v>6</v>
      </c>
    </row>
    <row r="737" spans="1:3" x14ac:dyDescent="0.3">
      <c r="A737" s="4" t="s">
        <v>300</v>
      </c>
      <c r="B737" s="4" t="s">
        <v>164</v>
      </c>
      <c r="C737" s="4">
        <v>5</v>
      </c>
    </row>
    <row r="738" spans="1:3" x14ac:dyDescent="0.3">
      <c r="A738" s="4" t="s">
        <v>300</v>
      </c>
      <c r="B738" s="4" t="s">
        <v>161</v>
      </c>
      <c r="C738" s="4">
        <v>4</v>
      </c>
    </row>
    <row r="739" spans="1:3" x14ac:dyDescent="0.3">
      <c r="A739" s="4" t="s">
        <v>300</v>
      </c>
      <c r="B739" s="4" t="s">
        <v>174</v>
      </c>
      <c r="C739" s="4">
        <v>4</v>
      </c>
    </row>
    <row r="740" spans="1:3" x14ac:dyDescent="0.3">
      <c r="A740" s="4" t="s">
        <v>300</v>
      </c>
      <c r="B740" s="4" t="s">
        <v>220</v>
      </c>
      <c r="C740" s="4">
        <v>2</v>
      </c>
    </row>
    <row r="741" spans="1:3" x14ac:dyDescent="0.3">
      <c r="A741" s="4" t="s">
        <v>300</v>
      </c>
      <c r="B741" s="4" t="s">
        <v>180</v>
      </c>
      <c r="C741" s="4">
        <v>2</v>
      </c>
    </row>
    <row r="742" spans="1:3" x14ac:dyDescent="0.3">
      <c r="A742" s="4" t="s">
        <v>300</v>
      </c>
      <c r="B742" s="4" t="s">
        <v>171</v>
      </c>
      <c r="C742" s="4">
        <v>1</v>
      </c>
    </row>
    <row r="743" spans="1:3" x14ac:dyDescent="0.3">
      <c r="A743" s="4" t="s">
        <v>300</v>
      </c>
      <c r="B743" s="4" t="s">
        <v>195</v>
      </c>
      <c r="C743" s="4">
        <v>1</v>
      </c>
    </row>
    <row r="744" spans="1:3" x14ac:dyDescent="0.3">
      <c r="A744" s="4" t="s">
        <v>300</v>
      </c>
      <c r="B744" s="4" t="s">
        <v>178</v>
      </c>
      <c r="C744" s="4">
        <v>1</v>
      </c>
    </row>
    <row r="745" spans="1:3" x14ac:dyDescent="0.3">
      <c r="A745" s="4" t="s">
        <v>300</v>
      </c>
      <c r="B745" s="4" t="s">
        <v>182</v>
      </c>
      <c r="C745" s="4">
        <v>1</v>
      </c>
    </row>
    <row r="746" spans="1:3" x14ac:dyDescent="0.3">
      <c r="A746" s="4" t="s">
        <v>300</v>
      </c>
      <c r="B746" s="4" t="s">
        <v>237</v>
      </c>
      <c r="C746" s="4">
        <v>1</v>
      </c>
    </row>
    <row r="747" spans="1:3" x14ac:dyDescent="0.3">
      <c r="A747" s="4" t="s">
        <v>300</v>
      </c>
      <c r="B747" s="4" t="s">
        <v>183</v>
      </c>
      <c r="C747" s="4">
        <v>1</v>
      </c>
    </row>
    <row r="748" spans="1:3" x14ac:dyDescent="0.3">
      <c r="A748" s="4" t="s">
        <v>300</v>
      </c>
      <c r="B748" s="4" t="s">
        <v>236</v>
      </c>
      <c r="C748" s="4">
        <v>1</v>
      </c>
    </row>
    <row r="749" spans="1:3" x14ac:dyDescent="0.3">
      <c r="A749" s="4" t="s">
        <v>301</v>
      </c>
      <c r="B749" s="4" t="s">
        <v>158</v>
      </c>
      <c r="C749" s="4">
        <v>24</v>
      </c>
    </row>
    <row r="750" spans="1:3" x14ac:dyDescent="0.3">
      <c r="A750" s="4" t="s">
        <v>301</v>
      </c>
      <c r="B750" s="4" t="s">
        <v>161</v>
      </c>
      <c r="C750" s="4">
        <v>15</v>
      </c>
    </row>
    <row r="751" spans="1:3" x14ac:dyDescent="0.3">
      <c r="A751" s="4" t="s">
        <v>301</v>
      </c>
      <c r="B751" s="4" t="s">
        <v>162</v>
      </c>
      <c r="C751" s="4">
        <v>14</v>
      </c>
    </row>
    <row r="752" spans="1:3" x14ac:dyDescent="0.3">
      <c r="A752" s="4" t="s">
        <v>301</v>
      </c>
      <c r="B752" s="4" t="s">
        <v>160</v>
      </c>
      <c r="C752" s="4">
        <v>12</v>
      </c>
    </row>
    <row r="753" spans="1:3" x14ac:dyDescent="0.3">
      <c r="A753" s="4" t="s">
        <v>301</v>
      </c>
      <c r="B753" s="4" t="s">
        <v>159</v>
      </c>
      <c r="C753" s="4">
        <v>9</v>
      </c>
    </row>
    <row r="754" spans="1:3" x14ac:dyDescent="0.3">
      <c r="A754" s="4" t="s">
        <v>301</v>
      </c>
      <c r="B754" s="4" t="s">
        <v>176</v>
      </c>
      <c r="C754" s="4">
        <v>7</v>
      </c>
    </row>
    <row r="755" spans="1:3" x14ac:dyDescent="0.3">
      <c r="A755" s="4" t="s">
        <v>301</v>
      </c>
      <c r="B755" s="4" t="s">
        <v>165</v>
      </c>
      <c r="C755" s="4">
        <v>7</v>
      </c>
    </row>
    <row r="756" spans="1:3" x14ac:dyDescent="0.3">
      <c r="A756" s="4" t="s">
        <v>301</v>
      </c>
      <c r="B756" s="4" t="s">
        <v>174</v>
      </c>
      <c r="C756" s="4">
        <v>5</v>
      </c>
    </row>
    <row r="757" spans="1:3" x14ac:dyDescent="0.3">
      <c r="A757" s="4" t="s">
        <v>301</v>
      </c>
      <c r="B757" s="4" t="s">
        <v>194</v>
      </c>
      <c r="C757" s="4">
        <v>5</v>
      </c>
    </row>
    <row r="758" spans="1:3" x14ac:dyDescent="0.3">
      <c r="A758" s="4" t="s">
        <v>301</v>
      </c>
      <c r="B758" s="4" t="s">
        <v>163</v>
      </c>
      <c r="C758" s="4">
        <v>4</v>
      </c>
    </row>
    <row r="759" spans="1:3" x14ac:dyDescent="0.3">
      <c r="A759" s="4" t="s">
        <v>301</v>
      </c>
      <c r="B759" s="4" t="s">
        <v>164</v>
      </c>
      <c r="C759" s="4">
        <v>4</v>
      </c>
    </row>
    <row r="760" spans="1:3" x14ac:dyDescent="0.3">
      <c r="A760" s="4" t="s">
        <v>301</v>
      </c>
      <c r="B760" s="4" t="s">
        <v>183</v>
      </c>
      <c r="C760" s="4">
        <v>3</v>
      </c>
    </row>
    <row r="761" spans="1:3" x14ac:dyDescent="0.3">
      <c r="A761" s="4" t="s">
        <v>301</v>
      </c>
      <c r="B761" s="4" t="s">
        <v>184</v>
      </c>
      <c r="C761" s="4">
        <v>3</v>
      </c>
    </row>
    <row r="762" spans="1:3" x14ac:dyDescent="0.3">
      <c r="A762" s="4" t="s">
        <v>301</v>
      </c>
      <c r="B762" s="4" t="s">
        <v>171</v>
      </c>
      <c r="C762" s="4">
        <v>2</v>
      </c>
    </row>
    <row r="763" spans="1:3" x14ac:dyDescent="0.3">
      <c r="A763" s="4" t="s">
        <v>301</v>
      </c>
      <c r="B763" s="4" t="s">
        <v>197</v>
      </c>
      <c r="C763" s="4">
        <v>2</v>
      </c>
    </row>
    <row r="764" spans="1:3" x14ac:dyDescent="0.3">
      <c r="A764" s="4" t="s">
        <v>301</v>
      </c>
      <c r="B764" s="4" t="s">
        <v>234</v>
      </c>
      <c r="C764" s="4">
        <v>1</v>
      </c>
    </row>
    <row r="765" spans="1:3" x14ac:dyDescent="0.3">
      <c r="A765" s="4" t="s">
        <v>301</v>
      </c>
      <c r="B765" s="4" t="s">
        <v>213</v>
      </c>
      <c r="C765" s="4">
        <v>1</v>
      </c>
    </row>
    <row r="766" spans="1:3" x14ac:dyDescent="0.3">
      <c r="A766" s="4" t="s">
        <v>301</v>
      </c>
      <c r="B766" s="4" t="s">
        <v>208</v>
      </c>
      <c r="C766" s="4">
        <v>1</v>
      </c>
    </row>
    <row r="767" spans="1:3" x14ac:dyDescent="0.3">
      <c r="A767" s="4" t="s">
        <v>301</v>
      </c>
      <c r="B767" s="4" t="s">
        <v>222</v>
      </c>
      <c r="C767" s="4">
        <v>1</v>
      </c>
    </row>
    <row r="768" spans="1:3" x14ac:dyDescent="0.3">
      <c r="A768" s="4" t="s">
        <v>301</v>
      </c>
      <c r="B768" s="4" t="s">
        <v>220</v>
      </c>
      <c r="C768" s="4">
        <v>1</v>
      </c>
    </row>
    <row r="769" spans="1:3" x14ac:dyDescent="0.3">
      <c r="A769" s="4" t="s">
        <v>301</v>
      </c>
      <c r="B769" s="4" t="s">
        <v>230</v>
      </c>
      <c r="C769" s="4">
        <v>1</v>
      </c>
    </row>
    <row r="770" spans="1:3" x14ac:dyDescent="0.3">
      <c r="A770" s="4" t="s">
        <v>301</v>
      </c>
      <c r="B770" s="4" t="s">
        <v>247</v>
      </c>
      <c r="C770" s="4">
        <v>1</v>
      </c>
    </row>
    <row r="771" spans="1:3" x14ac:dyDescent="0.3">
      <c r="A771" s="4" t="s">
        <v>301</v>
      </c>
      <c r="B771" s="4" t="s">
        <v>180</v>
      </c>
      <c r="C771" s="4">
        <v>1</v>
      </c>
    </row>
    <row r="772" spans="1:3" x14ac:dyDescent="0.3">
      <c r="A772" s="4" t="s">
        <v>301</v>
      </c>
      <c r="B772" s="4" t="s">
        <v>189</v>
      </c>
      <c r="C772" s="4">
        <v>1</v>
      </c>
    </row>
    <row r="773" spans="1:3" x14ac:dyDescent="0.3">
      <c r="A773" s="4" t="s">
        <v>301</v>
      </c>
      <c r="B773" s="4" t="s">
        <v>232</v>
      </c>
      <c r="C773" s="4">
        <v>1</v>
      </c>
    </row>
    <row r="774" spans="1:3" x14ac:dyDescent="0.3">
      <c r="A774" s="4" t="s">
        <v>301</v>
      </c>
      <c r="B774" s="4" t="s">
        <v>231</v>
      </c>
      <c r="C774" s="4">
        <v>1</v>
      </c>
    </row>
    <row r="775" spans="1:3" x14ac:dyDescent="0.3">
      <c r="A775" s="4" t="s">
        <v>301</v>
      </c>
      <c r="B775" s="4" t="s">
        <v>200</v>
      </c>
      <c r="C775" s="4">
        <v>1</v>
      </c>
    </row>
    <row r="776" spans="1:3" x14ac:dyDescent="0.3">
      <c r="A776" s="4" t="s">
        <v>302</v>
      </c>
      <c r="B776" s="4" t="s">
        <v>158</v>
      </c>
      <c r="C776" s="4">
        <v>26</v>
      </c>
    </row>
    <row r="777" spans="1:3" x14ac:dyDescent="0.3">
      <c r="A777" s="4" t="s">
        <v>302</v>
      </c>
      <c r="B777" s="4" t="s">
        <v>165</v>
      </c>
      <c r="C777" s="4">
        <v>12</v>
      </c>
    </row>
    <row r="778" spans="1:3" x14ac:dyDescent="0.3">
      <c r="A778" s="4" t="s">
        <v>302</v>
      </c>
      <c r="B778" s="4" t="s">
        <v>159</v>
      </c>
      <c r="C778" s="4">
        <v>11</v>
      </c>
    </row>
    <row r="779" spans="1:3" x14ac:dyDescent="0.3">
      <c r="A779" s="4" t="s">
        <v>302</v>
      </c>
      <c r="B779" s="4" t="s">
        <v>162</v>
      </c>
      <c r="C779" s="4">
        <v>9</v>
      </c>
    </row>
    <row r="780" spans="1:3" x14ac:dyDescent="0.3">
      <c r="A780" s="4" t="s">
        <v>302</v>
      </c>
      <c r="B780" s="4" t="s">
        <v>161</v>
      </c>
      <c r="C780" s="4">
        <v>7</v>
      </c>
    </row>
    <row r="781" spans="1:3" x14ac:dyDescent="0.3">
      <c r="A781" s="4" t="s">
        <v>302</v>
      </c>
      <c r="B781" s="4" t="s">
        <v>160</v>
      </c>
      <c r="C781" s="4">
        <v>7</v>
      </c>
    </row>
    <row r="782" spans="1:3" x14ac:dyDescent="0.3">
      <c r="A782" s="4" t="s">
        <v>302</v>
      </c>
      <c r="B782" s="4" t="s">
        <v>164</v>
      </c>
      <c r="C782" s="4">
        <v>6</v>
      </c>
    </row>
    <row r="783" spans="1:3" x14ac:dyDescent="0.3">
      <c r="A783" s="4" t="s">
        <v>302</v>
      </c>
      <c r="B783" s="4" t="s">
        <v>163</v>
      </c>
      <c r="C783" s="4">
        <v>5</v>
      </c>
    </row>
    <row r="784" spans="1:3" x14ac:dyDescent="0.3">
      <c r="A784" s="4" t="s">
        <v>302</v>
      </c>
      <c r="B784" s="4" t="s">
        <v>174</v>
      </c>
      <c r="C784" s="4">
        <v>5</v>
      </c>
    </row>
    <row r="785" spans="1:3" x14ac:dyDescent="0.3">
      <c r="A785" s="4" t="s">
        <v>302</v>
      </c>
      <c r="B785" s="4" t="s">
        <v>176</v>
      </c>
      <c r="C785" s="4">
        <v>3</v>
      </c>
    </row>
    <row r="786" spans="1:3" x14ac:dyDescent="0.3">
      <c r="A786" s="4" t="s">
        <v>302</v>
      </c>
      <c r="B786" s="4" t="s">
        <v>194</v>
      </c>
      <c r="C786" s="4">
        <v>2</v>
      </c>
    </row>
    <row r="787" spans="1:3" x14ac:dyDescent="0.3">
      <c r="A787" s="4" t="s">
        <v>302</v>
      </c>
      <c r="B787" s="4" t="s">
        <v>183</v>
      </c>
      <c r="C787" s="4">
        <v>2</v>
      </c>
    </row>
    <row r="788" spans="1:3" x14ac:dyDescent="0.3">
      <c r="A788" s="4" t="s">
        <v>302</v>
      </c>
      <c r="B788" s="4" t="s">
        <v>236</v>
      </c>
      <c r="C788" s="4">
        <v>1</v>
      </c>
    </row>
    <row r="789" spans="1:3" x14ac:dyDescent="0.3">
      <c r="A789" s="4" t="s">
        <v>302</v>
      </c>
      <c r="B789" s="4" t="s">
        <v>202</v>
      </c>
      <c r="C789" s="4">
        <v>1</v>
      </c>
    </row>
    <row r="790" spans="1:3" x14ac:dyDescent="0.3">
      <c r="A790" s="4" t="s">
        <v>302</v>
      </c>
      <c r="B790" s="4" t="s">
        <v>263</v>
      </c>
      <c r="C790" s="4">
        <v>1</v>
      </c>
    </row>
    <row r="791" spans="1:3" x14ac:dyDescent="0.3">
      <c r="A791" s="4" t="s">
        <v>302</v>
      </c>
      <c r="B791" s="4" t="s">
        <v>178</v>
      </c>
      <c r="C791" s="4">
        <v>1</v>
      </c>
    </row>
    <row r="792" spans="1:3" x14ac:dyDescent="0.3">
      <c r="A792" s="4" t="s">
        <v>302</v>
      </c>
      <c r="B792" s="4" t="s">
        <v>214</v>
      </c>
      <c r="C792" s="4">
        <v>1</v>
      </c>
    </row>
    <row r="793" spans="1:3" x14ac:dyDescent="0.3">
      <c r="A793" s="4" t="s">
        <v>302</v>
      </c>
      <c r="B793" s="4" t="s">
        <v>269</v>
      </c>
      <c r="C793" s="4">
        <v>1</v>
      </c>
    </row>
    <row r="794" spans="1:3" x14ac:dyDescent="0.3">
      <c r="A794" s="4" t="s">
        <v>302</v>
      </c>
      <c r="B794" s="4" t="s">
        <v>195</v>
      </c>
      <c r="C794" s="4">
        <v>1</v>
      </c>
    </row>
    <row r="795" spans="1:3" x14ac:dyDescent="0.3">
      <c r="A795" s="4" t="s">
        <v>302</v>
      </c>
      <c r="B795" s="4" t="s">
        <v>204</v>
      </c>
      <c r="C795" s="4">
        <v>1</v>
      </c>
    </row>
    <row r="796" spans="1:3" x14ac:dyDescent="0.3">
      <c r="A796" s="4" t="s">
        <v>302</v>
      </c>
      <c r="B796" s="4" t="s">
        <v>235</v>
      </c>
      <c r="C796" s="4">
        <v>1</v>
      </c>
    </row>
  </sheetData>
  <conditionalFormatting sqref="F6:M17">
    <cfRule type="colorScale" priority="2">
      <colorScale>
        <cfvo type="min"/>
        <cfvo type="percentile" val="60"/>
        <cfvo type="max"/>
        <color rgb="FFFFFFFF"/>
        <color rgb="FFFFD966"/>
        <color rgb="FFC00000"/>
      </colorScale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54DEC-F786-4BCA-9C5D-D0C18B318452}">
  <dimension ref="A1:DM35"/>
  <sheetViews>
    <sheetView workbookViewId="0">
      <selection activeCell="G15" sqref="G15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5.88671875" bestFit="1" customWidth="1"/>
    <col min="4" max="4" width="11.33203125" bestFit="1" customWidth="1"/>
    <col min="5" max="5" width="14.5546875" bestFit="1" customWidth="1"/>
    <col min="6" max="6" width="10" bestFit="1" customWidth="1"/>
    <col min="7" max="7" width="15" bestFit="1" customWidth="1"/>
    <col min="8" max="8" width="5.88671875" bestFit="1" customWidth="1"/>
    <col min="9" max="9" width="9.44140625" bestFit="1" customWidth="1"/>
    <col min="10" max="10" width="17.44140625" bestFit="1" customWidth="1"/>
    <col min="11" max="11" width="9.21875" bestFit="1" customWidth="1"/>
    <col min="12" max="12" width="9.33203125" bestFit="1" customWidth="1"/>
    <col min="13" max="13" width="9" bestFit="1" customWidth="1"/>
    <col min="14" max="14" width="9.5546875" bestFit="1" customWidth="1"/>
    <col min="15" max="15" width="15.33203125" bestFit="1" customWidth="1"/>
    <col min="16" max="16" width="18.6640625" bestFit="1" customWidth="1"/>
    <col min="17" max="17" width="19.21875" bestFit="1" customWidth="1"/>
    <col min="18" max="18" width="27.5546875" bestFit="1" customWidth="1"/>
    <col min="19" max="19" width="13.6640625" bestFit="1" customWidth="1"/>
    <col min="20" max="20" width="12.44140625" bestFit="1" customWidth="1"/>
    <col min="21" max="21" width="9.5546875" bestFit="1" customWidth="1"/>
    <col min="22" max="22" width="11.88671875" bestFit="1" customWidth="1"/>
    <col min="23" max="23" width="6.88671875" bestFit="1" customWidth="1"/>
    <col min="24" max="24" width="15.88671875" bestFit="1" customWidth="1"/>
    <col min="25" max="25" width="10.6640625" bestFit="1" customWidth="1"/>
    <col min="26" max="26" width="17.21875" bestFit="1" customWidth="1"/>
    <col min="27" max="27" width="7.88671875" bestFit="1" customWidth="1"/>
    <col min="28" max="28" width="8.5546875" bestFit="1" customWidth="1"/>
    <col min="29" max="29" width="10.88671875" bestFit="1" customWidth="1"/>
    <col min="30" max="30" width="5.21875" bestFit="1" customWidth="1"/>
    <col min="31" max="31" width="9.21875" bestFit="1" customWidth="1"/>
    <col min="32" max="32" width="6" bestFit="1" customWidth="1"/>
    <col min="33" max="33" width="22.21875" bestFit="1" customWidth="1"/>
    <col min="34" max="34" width="13.6640625" bestFit="1" customWidth="1"/>
    <col min="35" max="35" width="10" bestFit="1" customWidth="1"/>
    <col min="36" max="36" width="9.33203125" bestFit="1" customWidth="1"/>
    <col min="37" max="37" width="15.6640625" bestFit="1" customWidth="1"/>
    <col min="38" max="38" width="19.5546875" bestFit="1" customWidth="1"/>
    <col min="39" max="39" width="11.77734375" bestFit="1" customWidth="1"/>
    <col min="40" max="40" width="9" bestFit="1" customWidth="1"/>
    <col min="41" max="41" width="12.44140625" bestFit="1" customWidth="1"/>
    <col min="42" max="42" width="13.21875" bestFit="1" customWidth="1"/>
    <col min="43" max="43" width="12.6640625" bestFit="1" customWidth="1"/>
    <col min="44" max="44" width="8.21875" bestFit="1" customWidth="1"/>
    <col min="45" max="45" width="9.44140625" bestFit="1" customWidth="1"/>
    <col min="46" max="46" width="8" bestFit="1" customWidth="1"/>
    <col min="47" max="47" width="10.6640625" bestFit="1" customWidth="1"/>
    <col min="48" max="48" width="12" bestFit="1" customWidth="1"/>
    <col min="49" max="49" width="10.21875" bestFit="1" customWidth="1"/>
    <col min="50" max="50" width="10.88671875" bestFit="1" customWidth="1"/>
    <col min="51" max="51" width="13.109375" bestFit="1" customWidth="1"/>
    <col min="52" max="52" width="12.109375" bestFit="1" customWidth="1"/>
    <col min="53" max="53" width="5.21875" bestFit="1" customWidth="1"/>
    <col min="54" max="54" width="13.6640625" bestFit="1" customWidth="1"/>
    <col min="55" max="55" width="10.6640625" bestFit="1" customWidth="1"/>
    <col min="56" max="56" width="6.5546875" bestFit="1" customWidth="1"/>
    <col min="57" max="57" width="12.6640625" bestFit="1" customWidth="1"/>
    <col min="58" max="58" width="8.6640625" bestFit="1" customWidth="1"/>
    <col min="59" max="59" width="6" bestFit="1" customWidth="1"/>
    <col min="60" max="60" width="8.77734375" bestFit="1" customWidth="1"/>
    <col min="61" max="61" width="8.44140625" bestFit="1" customWidth="1"/>
    <col min="62" max="62" width="7.109375" bestFit="1" customWidth="1"/>
    <col min="63" max="63" width="9.5546875" bestFit="1" customWidth="1"/>
    <col min="64" max="64" width="14.88671875" bestFit="1" customWidth="1"/>
    <col min="65" max="65" width="12.77734375" bestFit="1" customWidth="1"/>
    <col min="66" max="66" width="11.88671875" bestFit="1" customWidth="1"/>
    <col min="67" max="67" width="5.6640625" bestFit="1" customWidth="1"/>
    <col min="68" max="68" width="7.33203125" bestFit="1" customWidth="1"/>
    <col min="69" max="69" width="10.33203125" bestFit="1" customWidth="1"/>
    <col min="70" max="70" width="9.21875" bestFit="1" customWidth="1"/>
    <col min="71" max="71" width="9.33203125" bestFit="1" customWidth="1"/>
    <col min="72" max="72" width="11" bestFit="1" customWidth="1"/>
    <col min="73" max="73" width="10" bestFit="1" customWidth="1"/>
    <col min="74" max="74" width="6.88671875" bestFit="1" customWidth="1"/>
    <col min="75" max="75" width="7.21875" bestFit="1" customWidth="1"/>
    <col min="76" max="76" width="12.33203125" bestFit="1" customWidth="1"/>
    <col min="77" max="77" width="8.109375" bestFit="1" customWidth="1"/>
    <col min="78" max="78" width="11.6640625" bestFit="1" customWidth="1"/>
    <col min="79" max="79" width="7.21875" bestFit="1" customWidth="1"/>
    <col min="80" max="80" width="9.77734375" bestFit="1" customWidth="1"/>
    <col min="81" max="81" width="12.6640625" bestFit="1" customWidth="1"/>
    <col min="82" max="82" width="12.33203125" bestFit="1" customWidth="1"/>
    <col min="83" max="83" width="12" bestFit="1" customWidth="1"/>
    <col min="84" max="84" width="9.44140625" bestFit="1" customWidth="1"/>
    <col min="85" max="85" width="6" bestFit="1" customWidth="1"/>
    <col min="86" max="86" width="10.5546875" bestFit="1" customWidth="1"/>
    <col min="87" max="87" width="8.21875" bestFit="1" customWidth="1"/>
    <col min="88" max="88" width="5.33203125" bestFit="1" customWidth="1"/>
    <col min="89" max="89" width="6.44140625" bestFit="1" customWidth="1"/>
    <col min="90" max="90" width="12.44140625" bestFit="1" customWidth="1"/>
    <col min="91" max="91" width="7.5546875" bestFit="1" customWidth="1"/>
    <col min="92" max="92" width="17.77734375" bestFit="1" customWidth="1"/>
    <col min="93" max="93" width="13.44140625" bestFit="1" customWidth="1"/>
    <col min="94" max="94" width="12.21875" bestFit="1" customWidth="1"/>
    <col min="95" max="95" width="14.77734375" bestFit="1" customWidth="1"/>
    <col min="96" max="96" width="8.77734375" bestFit="1" customWidth="1"/>
    <col min="97" max="97" width="6.109375" bestFit="1" customWidth="1"/>
    <col min="98" max="98" width="11.88671875" bestFit="1" customWidth="1"/>
    <col min="99" max="99" width="7.21875" bestFit="1" customWidth="1"/>
    <col min="100" max="100" width="13.21875" bestFit="1" customWidth="1"/>
    <col min="101" max="101" width="9.44140625" bestFit="1" customWidth="1"/>
    <col min="102" max="102" width="12.109375" bestFit="1" customWidth="1"/>
    <col min="103" max="103" width="14.109375" bestFit="1" customWidth="1"/>
    <col min="104" max="104" width="5.44140625" bestFit="1" customWidth="1"/>
    <col min="105" max="105" width="9.6640625" bestFit="1" customWidth="1"/>
    <col min="106" max="106" width="6.21875" bestFit="1" customWidth="1"/>
    <col min="107" max="107" width="19.109375" bestFit="1" customWidth="1"/>
    <col min="108" max="108" width="22.88671875" bestFit="1" customWidth="1"/>
    <col min="109" max="109" width="12.109375" bestFit="1" customWidth="1"/>
    <col min="110" max="110" width="7.77734375" bestFit="1" customWidth="1"/>
    <col min="111" max="111" width="13.33203125" bestFit="1" customWidth="1"/>
    <col min="112" max="112" width="9.21875" bestFit="1" customWidth="1"/>
    <col min="113" max="113" width="14.5546875" bestFit="1" customWidth="1"/>
    <col min="114" max="114" width="11" bestFit="1" customWidth="1"/>
    <col min="115" max="115" width="6" bestFit="1" customWidth="1"/>
    <col min="116" max="116" width="8.21875" bestFit="1" customWidth="1"/>
    <col min="117" max="117" width="10.77734375" bestFit="1" customWidth="1"/>
  </cols>
  <sheetData>
    <row r="1" spans="1:117" x14ac:dyDescent="0.3">
      <c r="A1" s="28" t="s">
        <v>370</v>
      </c>
    </row>
    <row r="3" spans="1:117" x14ac:dyDescent="0.3">
      <c r="A3" s="24" t="s">
        <v>367</v>
      </c>
      <c r="B3" s="24" t="s">
        <v>366</v>
      </c>
    </row>
    <row r="4" spans="1:117" x14ac:dyDescent="0.3">
      <c r="A4" s="24" t="s">
        <v>364</v>
      </c>
      <c r="B4" t="s">
        <v>224</v>
      </c>
      <c r="C4" t="s">
        <v>211</v>
      </c>
      <c r="D4" t="s">
        <v>178</v>
      </c>
      <c r="E4" t="s">
        <v>222</v>
      </c>
      <c r="F4" t="s">
        <v>190</v>
      </c>
      <c r="G4" t="s">
        <v>283</v>
      </c>
      <c r="H4" t="s">
        <v>228</v>
      </c>
      <c r="I4" t="s">
        <v>158</v>
      </c>
      <c r="J4" t="s">
        <v>286</v>
      </c>
      <c r="K4" t="s">
        <v>231</v>
      </c>
      <c r="L4" t="s">
        <v>277</v>
      </c>
      <c r="M4" t="s">
        <v>298</v>
      </c>
      <c r="N4" t="s">
        <v>176</v>
      </c>
      <c r="O4" t="s">
        <v>195</v>
      </c>
      <c r="P4" t="s">
        <v>206</v>
      </c>
      <c r="Q4" t="s">
        <v>192</v>
      </c>
      <c r="R4" t="s">
        <v>196</v>
      </c>
      <c r="S4" t="s">
        <v>242</v>
      </c>
      <c r="T4" t="s">
        <v>245</v>
      </c>
      <c r="U4" t="s">
        <v>288</v>
      </c>
      <c r="V4" t="s">
        <v>284</v>
      </c>
      <c r="W4" t="s">
        <v>189</v>
      </c>
      <c r="X4" t="s">
        <v>236</v>
      </c>
      <c r="Y4" t="s">
        <v>246</v>
      </c>
      <c r="Z4" t="s">
        <v>188</v>
      </c>
      <c r="AA4" t="s">
        <v>161</v>
      </c>
      <c r="AB4" t="s">
        <v>290</v>
      </c>
      <c r="AC4" t="s">
        <v>240</v>
      </c>
      <c r="AD4" t="s">
        <v>174</v>
      </c>
      <c r="AE4" t="s">
        <v>248</v>
      </c>
      <c r="AF4" t="s">
        <v>292</v>
      </c>
      <c r="AG4" t="s">
        <v>208</v>
      </c>
      <c r="AH4" t="s">
        <v>186</v>
      </c>
      <c r="AI4" t="s">
        <v>278</v>
      </c>
      <c r="AJ4" t="s">
        <v>261</v>
      </c>
      <c r="AK4" t="s">
        <v>184</v>
      </c>
      <c r="AL4" t="s">
        <v>269</v>
      </c>
      <c r="AM4" t="s">
        <v>258</v>
      </c>
      <c r="AN4" t="s">
        <v>256</v>
      </c>
      <c r="AO4" t="s">
        <v>239</v>
      </c>
      <c r="AP4" t="s">
        <v>187</v>
      </c>
      <c r="AQ4" t="s">
        <v>213</v>
      </c>
      <c r="AR4" t="s">
        <v>162</v>
      </c>
      <c r="AS4" t="s">
        <v>171</v>
      </c>
      <c r="AT4" t="s">
        <v>219</v>
      </c>
      <c r="AU4" t="s">
        <v>203</v>
      </c>
      <c r="AV4" t="s">
        <v>226</v>
      </c>
      <c r="AW4" t="s">
        <v>159</v>
      </c>
      <c r="AX4" t="s">
        <v>262</v>
      </c>
      <c r="AY4" t="s">
        <v>250</v>
      </c>
      <c r="AZ4" t="s">
        <v>207</v>
      </c>
      <c r="BA4" t="s">
        <v>182</v>
      </c>
      <c r="BB4" t="s">
        <v>200</v>
      </c>
      <c r="BC4" t="s">
        <v>291</v>
      </c>
      <c r="BD4" t="s">
        <v>193</v>
      </c>
      <c r="BE4" t="s">
        <v>275</v>
      </c>
      <c r="BF4" t="s">
        <v>260</v>
      </c>
      <c r="BG4" t="s">
        <v>205</v>
      </c>
      <c r="BH4" t="s">
        <v>209</v>
      </c>
      <c r="BI4" t="s">
        <v>198</v>
      </c>
      <c r="BJ4" t="s">
        <v>293</v>
      </c>
      <c r="BK4" t="s">
        <v>225</v>
      </c>
      <c r="BL4" t="s">
        <v>237</v>
      </c>
      <c r="BM4" t="s">
        <v>191</v>
      </c>
      <c r="BN4" t="s">
        <v>282</v>
      </c>
      <c r="BO4" t="s">
        <v>238</v>
      </c>
      <c r="BP4" t="s">
        <v>165</v>
      </c>
      <c r="BQ4" t="s">
        <v>272</v>
      </c>
      <c r="BR4" t="s">
        <v>202</v>
      </c>
      <c r="BS4" t="s">
        <v>197</v>
      </c>
      <c r="BT4" t="s">
        <v>255</v>
      </c>
      <c r="BU4" t="s">
        <v>220</v>
      </c>
      <c r="BV4" t="s">
        <v>279</v>
      </c>
      <c r="BW4" t="s">
        <v>235</v>
      </c>
      <c r="BX4" t="s">
        <v>259</v>
      </c>
      <c r="BY4" t="s">
        <v>163</v>
      </c>
      <c r="BZ4" t="s">
        <v>243</v>
      </c>
      <c r="CA4" t="s">
        <v>214</v>
      </c>
      <c r="CB4" t="s">
        <v>210</v>
      </c>
      <c r="CC4" t="s">
        <v>215</v>
      </c>
      <c r="CD4" t="s">
        <v>212</v>
      </c>
      <c r="CE4" t="s">
        <v>263</v>
      </c>
      <c r="CF4" t="s">
        <v>221</v>
      </c>
      <c r="CG4" t="s">
        <v>164</v>
      </c>
      <c r="CH4" t="s">
        <v>289</v>
      </c>
      <c r="CI4" t="s">
        <v>229</v>
      </c>
      <c r="CJ4" t="s">
        <v>160</v>
      </c>
      <c r="CK4" t="s">
        <v>249</v>
      </c>
      <c r="CL4" t="s">
        <v>216</v>
      </c>
      <c r="CM4" t="s">
        <v>194</v>
      </c>
      <c r="CN4" t="s">
        <v>247</v>
      </c>
      <c r="CO4" t="s">
        <v>180</v>
      </c>
      <c r="CP4" t="s">
        <v>244</v>
      </c>
      <c r="CQ4" t="s">
        <v>183</v>
      </c>
      <c r="CR4" t="s">
        <v>253</v>
      </c>
      <c r="CS4" t="s">
        <v>281</v>
      </c>
      <c r="CT4" t="s">
        <v>234</v>
      </c>
      <c r="CU4" t="s">
        <v>199</v>
      </c>
      <c r="CV4" t="s">
        <v>264</v>
      </c>
      <c r="CW4" t="s">
        <v>297</v>
      </c>
      <c r="CX4" t="s">
        <v>232</v>
      </c>
      <c r="CY4" t="s">
        <v>204</v>
      </c>
      <c r="CZ4" t="s">
        <v>254</v>
      </c>
      <c r="DA4" t="s">
        <v>217</v>
      </c>
      <c r="DB4" t="s">
        <v>299</v>
      </c>
      <c r="DC4" t="s">
        <v>230</v>
      </c>
      <c r="DD4" t="s">
        <v>257</v>
      </c>
      <c r="DE4" t="s">
        <v>218</v>
      </c>
      <c r="DF4" t="s">
        <v>273</v>
      </c>
      <c r="DG4" t="s">
        <v>223</v>
      </c>
      <c r="DH4" t="s">
        <v>201</v>
      </c>
      <c r="DI4" t="s">
        <v>285</v>
      </c>
      <c r="DJ4" t="s">
        <v>251</v>
      </c>
      <c r="DK4" t="s">
        <v>280</v>
      </c>
      <c r="DL4" t="s">
        <v>252</v>
      </c>
      <c r="DM4" t="s">
        <v>365</v>
      </c>
    </row>
    <row r="5" spans="1:117" x14ac:dyDescent="0.3">
      <c r="A5" s="25" t="s">
        <v>157</v>
      </c>
      <c r="B5" s="26"/>
      <c r="C5" s="26">
        <v>1</v>
      </c>
      <c r="D5" s="26">
        <v>15</v>
      </c>
      <c r="E5" s="26"/>
      <c r="F5" s="26">
        <v>2</v>
      </c>
      <c r="G5" s="26"/>
      <c r="H5" s="26"/>
      <c r="I5" s="26">
        <v>136</v>
      </c>
      <c r="J5" s="26"/>
      <c r="K5" s="26"/>
      <c r="L5" s="26"/>
      <c r="M5" s="26"/>
      <c r="N5" s="26">
        <v>27</v>
      </c>
      <c r="O5" s="26">
        <v>2</v>
      </c>
      <c r="P5" s="26">
        <v>1</v>
      </c>
      <c r="Q5" s="26">
        <v>2</v>
      </c>
      <c r="R5" s="26">
        <v>1</v>
      </c>
      <c r="S5" s="26"/>
      <c r="T5" s="26"/>
      <c r="U5" s="26"/>
      <c r="V5" s="26"/>
      <c r="W5" s="26">
        <v>2</v>
      </c>
      <c r="X5" s="26"/>
      <c r="Y5" s="26"/>
      <c r="Z5" s="26">
        <v>2</v>
      </c>
      <c r="AA5" s="26">
        <v>46</v>
      </c>
      <c r="AB5" s="26"/>
      <c r="AC5" s="26"/>
      <c r="AD5" s="26">
        <v>36</v>
      </c>
      <c r="AE5" s="26"/>
      <c r="AF5" s="26"/>
      <c r="AG5" s="26">
        <v>1</v>
      </c>
      <c r="AH5" s="26">
        <v>2</v>
      </c>
      <c r="AI5" s="26"/>
      <c r="AJ5" s="26"/>
      <c r="AK5" s="26">
        <v>3</v>
      </c>
      <c r="AL5" s="26"/>
      <c r="AM5" s="26"/>
      <c r="AN5" s="26"/>
      <c r="AO5" s="26"/>
      <c r="AP5" s="26">
        <v>2</v>
      </c>
      <c r="AQ5" s="26">
        <v>1</v>
      </c>
      <c r="AR5" s="26">
        <v>41</v>
      </c>
      <c r="AS5" s="26">
        <v>39</v>
      </c>
      <c r="AT5" s="26"/>
      <c r="AU5" s="26">
        <v>1</v>
      </c>
      <c r="AV5" s="26"/>
      <c r="AW5" s="26">
        <v>63</v>
      </c>
      <c r="AX5" s="26"/>
      <c r="AY5" s="26"/>
      <c r="AZ5" s="26">
        <v>1</v>
      </c>
      <c r="BA5" s="26">
        <v>7</v>
      </c>
      <c r="BB5" s="26">
        <v>1</v>
      </c>
      <c r="BC5" s="26"/>
      <c r="BD5" s="26">
        <v>2</v>
      </c>
      <c r="BE5" s="26"/>
      <c r="BF5" s="26"/>
      <c r="BG5" s="26">
        <v>1</v>
      </c>
      <c r="BH5" s="26">
        <v>1</v>
      </c>
      <c r="BI5" s="26">
        <v>1</v>
      </c>
      <c r="BJ5" s="26"/>
      <c r="BK5" s="26"/>
      <c r="BL5" s="26"/>
      <c r="BM5" s="26">
        <v>2</v>
      </c>
      <c r="BN5" s="26"/>
      <c r="BO5" s="26"/>
      <c r="BP5" s="26">
        <v>37</v>
      </c>
      <c r="BQ5" s="26"/>
      <c r="BR5" s="26">
        <v>1</v>
      </c>
      <c r="BS5" s="26">
        <v>1</v>
      </c>
      <c r="BT5" s="26"/>
      <c r="BU5" s="26"/>
      <c r="BV5" s="26"/>
      <c r="BW5" s="26"/>
      <c r="BX5" s="26"/>
      <c r="BY5" s="26">
        <v>62</v>
      </c>
      <c r="BZ5" s="26"/>
      <c r="CA5" s="26">
        <v>1</v>
      </c>
      <c r="CB5" s="26">
        <v>1</v>
      </c>
      <c r="CC5" s="26">
        <v>1</v>
      </c>
      <c r="CD5" s="26">
        <v>1</v>
      </c>
      <c r="CE5" s="26"/>
      <c r="CF5" s="26"/>
      <c r="CG5" s="26">
        <v>42</v>
      </c>
      <c r="CH5" s="26"/>
      <c r="CI5" s="26"/>
      <c r="CJ5" s="26">
        <v>60</v>
      </c>
      <c r="CK5" s="26"/>
      <c r="CL5" s="26"/>
      <c r="CM5" s="26">
        <v>2</v>
      </c>
      <c r="CN5" s="26"/>
      <c r="CO5" s="26">
        <v>8</v>
      </c>
      <c r="CP5" s="26"/>
      <c r="CQ5" s="26">
        <v>3</v>
      </c>
      <c r="CR5" s="26"/>
      <c r="CS5" s="26"/>
      <c r="CT5" s="26"/>
      <c r="CU5" s="26">
        <v>1</v>
      </c>
      <c r="CV5" s="26"/>
      <c r="CW5" s="26"/>
      <c r="CX5" s="26"/>
      <c r="CY5" s="26">
        <v>1</v>
      </c>
      <c r="CZ5" s="26"/>
      <c r="DA5" s="26"/>
      <c r="DB5" s="26"/>
      <c r="DC5" s="26"/>
      <c r="DD5" s="26"/>
      <c r="DE5" s="26"/>
      <c r="DF5" s="26"/>
      <c r="DG5" s="26"/>
      <c r="DH5" s="26">
        <v>1</v>
      </c>
      <c r="DI5" s="26"/>
      <c r="DJ5" s="26"/>
      <c r="DK5" s="26"/>
      <c r="DL5" s="26"/>
      <c r="DM5" s="26">
        <v>665</v>
      </c>
    </row>
    <row r="6" spans="1:117" x14ac:dyDescent="0.3">
      <c r="A6" s="25" t="s">
        <v>169</v>
      </c>
      <c r="B6" s="26">
        <v>1</v>
      </c>
      <c r="C6" s="26"/>
      <c r="D6" s="26">
        <v>3</v>
      </c>
      <c r="E6" s="26">
        <v>1</v>
      </c>
      <c r="F6" s="26"/>
      <c r="G6" s="26"/>
      <c r="H6" s="26"/>
      <c r="I6" s="26">
        <v>131</v>
      </c>
      <c r="J6" s="26"/>
      <c r="K6" s="26"/>
      <c r="L6" s="26"/>
      <c r="M6" s="26"/>
      <c r="N6" s="26">
        <v>19</v>
      </c>
      <c r="O6" s="26">
        <v>2</v>
      </c>
      <c r="P6" s="26"/>
      <c r="Q6" s="26">
        <v>1</v>
      </c>
      <c r="R6" s="26"/>
      <c r="S6" s="26"/>
      <c r="T6" s="26"/>
      <c r="U6" s="26"/>
      <c r="V6" s="26"/>
      <c r="W6" s="26">
        <v>1</v>
      </c>
      <c r="X6" s="26"/>
      <c r="Y6" s="26"/>
      <c r="Z6" s="26"/>
      <c r="AA6" s="26">
        <v>43</v>
      </c>
      <c r="AB6" s="26"/>
      <c r="AC6" s="26"/>
      <c r="AD6" s="26">
        <v>21</v>
      </c>
      <c r="AE6" s="26"/>
      <c r="AF6" s="26"/>
      <c r="AG6" s="26">
        <v>1</v>
      </c>
      <c r="AH6" s="26">
        <v>1</v>
      </c>
      <c r="AI6" s="26"/>
      <c r="AJ6" s="26"/>
      <c r="AK6" s="26"/>
      <c r="AL6" s="26"/>
      <c r="AM6" s="26"/>
      <c r="AN6" s="26"/>
      <c r="AO6" s="26"/>
      <c r="AP6" s="26">
        <v>3</v>
      </c>
      <c r="AQ6" s="26">
        <v>1</v>
      </c>
      <c r="AR6" s="26">
        <v>39</v>
      </c>
      <c r="AS6" s="26">
        <v>5</v>
      </c>
      <c r="AT6" s="26">
        <v>1</v>
      </c>
      <c r="AU6" s="26"/>
      <c r="AV6" s="26">
        <v>1</v>
      </c>
      <c r="AW6" s="26">
        <v>49</v>
      </c>
      <c r="AX6" s="26"/>
      <c r="AY6" s="26"/>
      <c r="AZ6" s="26">
        <v>1</v>
      </c>
      <c r="BA6" s="26">
        <v>3</v>
      </c>
      <c r="BB6" s="26">
        <v>1</v>
      </c>
      <c r="BC6" s="26"/>
      <c r="BD6" s="26">
        <v>1</v>
      </c>
      <c r="BE6" s="26"/>
      <c r="BF6" s="26"/>
      <c r="BG6" s="26"/>
      <c r="BH6" s="26">
        <v>1</v>
      </c>
      <c r="BI6" s="26"/>
      <c r="BJ6" s="26"/>
      <c r="BK6" s="26">
        <v>1</v>
      </c>
      <c r="BL6" s="26"/>
      <c r="BM6" s="26">
        <v>1</v>
      </c>
      <c r="BN6" s="26"/>
      <c r="BO6" s="26"/>
      <c r="BP6" s="26">
        <v>36</v>
      </c>
      <c r="BQ6" s="26"/>
      <c r="BR6" s="26">
        <v>1</v>
      </c>
      <c r="BS6" s="26"/>
      <c r="BT6" s="26"/>
      <c r="BU6" s="26">
        <v>1</v>
      </c>
      <c r="BV6" s="26"/>
      <c r="BW6" s="26"/>
      <c r="BX6" s="26"/>
      <c r="BY6" s="26">
        <v>26</v>
      </c>
      <c r="BZ6" s="26"/>
      <c r="CA6" s="26"/>
      <c r="CB6" s="26"/>
      <c r="CC6" s="26"/>
      <c r="CD6" s="26"/>
      <c r="CE6" s="26"/>
      <c r="CF6" s="26">
        <v>1</v>
      </c>
      <c r="CG6" s="26">
        <v>46</v>
      </c>
      <c r="CH6" s="26"/>
      <c r="CI6" s="26"/>
      <c r="CJ6" s="26">
        <v>46</v>
      </c>
      <c r="CK6" s="26"/>
      <c r="CL6" s="26">
        <v>1</v>
      </c>
      <c r="CM6" s="26">
        <v>2</v>
      </c>
      <c r="CN6" s="26"/>
      <c r="CO6" s="26">
        <v>5</v>
      </c>
      <c r="CP6" s="26"/>
      <c r="CQ6" s="26">
        <v>6</v>
      </c>
      <c r="CR6" s="26"/>
      <c r="CS6" s="26"/>
      <c r="CT6" s="26"/>
      <c r="CU6" s="26"/>
      <c r="CV6" s="26"/>
      <c r="CW6" s="26"/>
      <c r="CX6" s="26"/>
      <c r="CY6" s="26">
        <v>2</v>
      </c>
      <c r="CZ6" s="26"/>
      <c r="DA6" s="26">
        <v>1</v>
      </c>
      <c r="DB6" s="26"/>
      <c r="DC6" s="26"/>
      <c r="DD6" s="26"/>
      <c r="DE6" s="26">
        <v>1</v>
      </c>
      <c r="DF6" s="26"/>
      <c r="DG6" s="26">
        <v>1</v>
      </c>
      <c r="DH6" s="26"/>
      <c r="DI6" s="26"/>
      <c r="DJ6" s="26"/>
      <c r="DK6" s="26"/>
      <c r="DL6" s="26"/>
      <c r="DM6" s="26">
        <v>509</v>
      </c>
    </row>
    <row r="7" spans="1:117" x14ac:dyDescent="0.3">
      <c r="A7" s="25" t="s">
        <v>227</v>
      </c>
      <c r="B7" s="26"/>
      <c r="C7" s="26"/>
      <c r="D7" s="26"/>
      <c r="E7" s="26"/>
      <c r="F7" s="26"/>
      <c r="G7" s="26"/>
      <c r="H7" s="26">
        <v>1</v>
      </c>
      <c r="I7" s="26">
        <v>34</v>
      </c>
      <c r="J7" s="26"/>
      <c r="K7" s="26"/>
      <c r="L7" s="26"/>
      <c r="M7" s="26"/>
      <c r="N7" s="26">
        <v>12</v>
      </c>
      <c r="O7" s="26"/>
      <c r="P7" s="26"/>
      <c r="Q7" s="26">
        <v>1</v>
      </c>
      <c r="R7" s="26"/>
      <c r="S7" s="26"/>
      <c r="T7" s="26"/>
      <c r="U7" s="26"/>
      <c r="V7" s="26"/>
      <c r="W7" s="26"/>
      <c r="X7" s="26"/>
      <c r="Y7" s="26"/>
      <c r="Z7" s="26"/>
      <c r="AA7" s="26">
        <v>7</v>
      </c>
      <c r="AB7" s="26"/>
      <c r="AC7" s="26"/>
      <c r="AD7" s="26">
        <v>4</v>
      </c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>
        <v>5</v>
      </c>
      <c r="AS7" s="26">
        <v>2</v>
      </c>
      <c r="AT7" s="26"/>
      <c r="AU7" s="26"/>
      <c r="AV7" s="26"/>
      <c r="AW7" s="26">
        <v>11</v>
      </c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>
        <v>1</v>
      </c>
      <c r="BQ7" s="26"/>
      <c r="BR7" s="26"/>
      <c r="BS7" s="26"/>
      <c r="BT7" s="26"/>
      <c r="BU7" s="26"/>
      <c r="BV7" s="26"/>
      <c r="BW7" s="26"/>
      <c r="BX7" s="26"/>
      <c r="BY7" s="26">
        <v>6</v>
      </c>
      <c r="BZ7" s="26"/>
      <c r="CA7" s="26"/>
      <c r="CB7" s="26"/>
      <c r="CC7" s="26"/>
      <c r="CD7" s="26"/>
      <c r="CE7" s="26"/>
      <c r="CF7" s="26"/>
      <c r="CG7" s="26">
        <v>9</v>
      </c>
      <c r="CH7" s="26"/>
      <c r="CI7" s="26">
        <v>1</v>
      </c>
      <c r="CJ7" s="26">
        <v>14</v>
      </c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>
        <v>108</v>
      </c>
    </row>
    <row r="8" spans="1:117" x14ac:dyDescent="0.3">
      <c r="A8" s="25" t="s">
        <v>170</v>
      </c>
      <c r="B8" s="26"/>
      <c r="C8" s="26">
        <v>1</v>
      </c>
      <c r="D8" s="26">
        <v>1</v>
      </c>
      <c r="E8" s="26"/>
      <c r="F8" s="26"/>
      <c r="G8" s="26"/>
      <c r="H8" s="26"/>
      <c r="I8" s="26">
        <v>79</v>
      </c>
      <c r="J8" s="26"/>
      <c r="K8" s="26">
        <v>1</v>
      </c>
      <c r="L8" s="26"/>
      <c r="M8" s="26"/>
      <c r="N8" s="26">
        <v>11</v>
      </c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>
        <v>1</v>
      </c>
      <c r="AA8" s="26">
        <v>38</v>
      </c>
      <c r="AB8" s="26"/>
      <c r="AC8" s="26"/>
      <c r="AD8" s="26">
        <v>14</v>
      </c>
      <c r="AE8" s="26"/>
      <c r="AF8" s="26"/>
      <c r="AG8" s="26">
        <v>1</v>
      </c>
      <c r="AH8" s="26">
        <v>1</v>
      </c>
      <c r="AI8" s="26"/>
      <c r="AJ8" s="26"/>
      <c r="AK8" s="26">
        <v>2</v>
      </c>
      <c r="AL8" s="26"/>
      <c r="AM8" s="26"/>
      <c r="AN8" s="26"/>
      <c r="AO8" s="26"/>
      <c r="AP8" s="26"/>
      <c r="AQ8" s="26">
        <v>1</v>
      </c>
      <c r="AR8" s="26">
        <v>31</v>
      </c>
      <c r="AS8" s="26">
        <v>9</v>
      </c>
      <c r="AT8" s="26"/>
      <c r="AU8" s="26">
        <v>1</v>
      </c>
      <c r="AV8" s="26"/>
      <c r="AW8" s="26">
        <v>40</v>
      </c>
      <c r="AX8" s="26"/>
      <c r="AY8" s="26"/>
      <c r="AZ8" s="26"/>
      <c r="BA8" s="26">
        <v>3</v>
      </c>
      <c r="BB8" s="26">
        <v>1</v>
      </c>
      <c r="BC8" s="26"/>
      <c r="BD8" s="26">
        <v>2</v>
      </c>
      <c r="BE8" s="26"/>
      <c r="BF8" s="26"/>
      <c r="BG8" s="26"/>
      <c r="BH8" s="26">
        <v>1</v>
      </c>
      <c r="BI8" s="26">
        <v>1</v>
      </c>
      <c r="BJ8" s="26"/>
      <c r="BK8" s="26"/>
      <c r="BL8" s="26"/>
      <c r="BM8" s="26"/>
      <c r="BN8" s="26"/>
      <c r="BO8" s="26"/>
      <c r="BP8" s="26">
        <v>25</v>
      </c>
      <c r="BQ8" s="26"/>
      <c r="BR8" s="26">
        <v>2</v>
      </c>
      <c r="BS8" s="26">
        <v>2</v>
      </c>
      <c r="BT8" s="26"/>
      <c r="BU8" s="26">
        <v>1</v>
      </c>
      <c r="BV8" s="26"/>
      <c r="BW8" s="26"/>
      <c r="BX8" s="26"/>
      <c r="BY8" s="26">
        <v>19</v>
      </c>
      <c r="BZ8" s="26"/>
      <c r="CA8" s="26">
        <v>1</v>
      </c>
      <c r="CB8" s="26">
        <v>1</v>
      </c>
      <c r="CC8" s="26"/>
      <c r="CD8" s="26"/>
      <c r="CE8" s="26"/>
      <c r="CF8" s="26"/>
      <c r="CG8" s="26">
        <v>30</v>
      </c>
      <c r="CH8" s="26"/>
      <c r="CI8" s="26"/>
      <c r="CJ8" s="26">
        <v>29</v>
      </c>
      <c r="CK8" s="26"/>
      <c r="CL8" s="26"/>
      <c r="CM8" s="26">
        <v>7</v>
      </c>
      <c r="CN8" s="26"/>
      <c r="CO8" s="26">
        <v>2</v>
      </c>
      <c r="CP8" s="26"/>
      <c r="CQ8" s="26">
        <v>4</v>
      </c>
      <c r="CR8" s="26"/>
      <c r="CS8" s="26"/>
      <c r="CT8" s="26"/>
      <c r="CU8" s="26"/>
      <c r="CV8" s="26"/>
      <c r="CW8" s="26"/>
      <c r="CX8" s="26">
        <v>1</v>
      </c>
      <c r="CY8" s="26">
        <v>2</v>
      </c>
      <c r="CZ8" s="26"/>
      <c r="DA8" s="26"/>
      <c r="DB8" s="26"/>
      <c r="DC8" s="26">
        <v>2</v>
      </c>
      <c r="DD8" s="26"/>
      <c r="DE8" s="26"/>
      <c r="DF8" s="26"/>
      <c r="DG8" s="26"/>
      <c r="DH8" s="26"/>
      <c r="DI8" s="26"/>
      <c r="DJ8" s="26"/>
      <c r="DK8" s="26"/>
      <c r="DL8" s="26"/>
      <c r="DM8" s="26">
        <v>368</v>
      </c>
    </row>
    <row r="9" spans="1:117" x14ac:dyDescent="0.3">
      <c r="A9" s="25" t="s">
        <v>233</v>
      </c>
      <c r="B9" s="26"/>
      <c r="C9" s="26"/>
      <c r="D9" s="26"/>
      <c r="E9" s="26"/>
      <c r="F9" s="26"/>
      <c r="G9" s="26"/>
      <c r="H9" s="26"/>
      <c r="I9" s="26">
        <v>34</v>
      </c>
      <c r="J9" s="26"/>
      <c r="K9" s="26">
        <v>1</v>
      </c>
      <c r="L9" s="26"/>
      <c r="M9" s="26"/>
      <c r="N9" s="26">
        <v>4</v>
      </c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>
        <v>9</v>
      </c>
      <c r="AB9" s="26"/>
      <c r="AC9" s="26"/>
      <c r="AD9" s="26">
        <v>10</v>
      </c>
      <c r="AE9" s="26"/>
      <c r="AF9" s="26"/>
      <c r="AG9" s="26"/>
      <c r="AH9" s="26"/>
      <c r="AI9" s="26"/>
      <c r="AJ9" s="26"/>
      <c r="AK9" s="26">
        <v>1</v>
      </c>
      <c r="AL9" s="26"/>
      <c r="AM9" s="26"/>
      <c r="AN9" s="26"/>
      <c r="AO9" s="26"/>
      <c r="AP9" s="26"/>
      <c r="AQ9" s="26">
        <v>1</v>
      </c>
      <c r="AR9" s="26">
        <v>12</v>
      </c>
      <c r="AS9" s="26">
        <v>1</v>
      </c>
      <c r="AT9" s="26"/>
      <c r="AU9" s="26"/>
      <c r="AV9" s="26"/>
      <c r="AW9" s="26">
        <v>21</v>
      </c>
      <c r="AX9" s="26"/>
      <c r="AY9" s="26"/>
      <c r="AZ9" s="26"/>
      <c r="BA9" s="26">
        <v>1</v>
      </c>
      <c r="BB9" s="26">
        <v>2</v>
      </c>
      <c r="BC9" s="26"/>
      <c r="BD9" s="26"/>
      <c r="BE9" s="26"/>
      <c r="BF9" s="26"/>
      <c r="BG9" s="26"/>
      <c r="BH9" s="26">
        <v>1</v>
      </c>
      <c r="BI9" s="26"/>
      <c r="BJ9" s="26"/>
      <c r="BK9" s="26"/>
      <c r="BL9" s="26"/>
      <c r="BM9" s="26"/>
      <c r="BN9" s="26"/>
      <c r="BO9" s="26"/>
      <c r="BP9" s="26">
        <v>12</v>
      </c>
      <c r="BQ9" s="26"/>
      <c r="BR9" s="26"/>
      <c r="BS9" s="26">
        <v>1</v>
      </c>
      <c r="BT9" s="26"/>
      <c r="BU9" s="26">
        <v>1</v>
      </c>
      <c r="BV9" s="26"/>
      <c r="BW9" s="26">
        <v>1</v>
      </c>
      <c r="BX9" s="26"/>
      <c r="BY9" s="26">
        <v>7</v>
      </c>
      <c r="BZ9" s="26"/>
      <c r="CA9" s="26"/>
      <c r="CB9" s="26"/>
      <c r="CC9" s="26"/>
      <c r="CD9" s="26"/>
      <c r="CE9" s="26"/>
      <c r="CF9" s="26"/>
      <c r="CG9" s="26">
        <v>8</v>
      </c>
      <c r="CH9" s="26"/>
      <c r="CI9" s="26"/>
      <c r="CJ9" s="26">
        <v>22</v>
      </c>
      <c r="CK9" s="26"/>
      <c r="CL9" s="26"/>
      <c r="CM9" s="26">
        <v>2</v>
      </c>
      <c r="CN9" s="26"/>
      <c r="CO9" s="26">
        <v>2</v>
      </c>
      <c r="CP9" s="26"/>
      <c r="CQ9" s="26"/>
      <c r="CR9" s="26"/>
      <c r="CS9" s="26"/>
      <c r="CT9" s="26">
        <v>1</v>
      </c>
      <c r="CU9" s="26"/>
      <c r="CV9" s="26"/>
      <c r="CW9" s="26"/>
      <c r="CX9" s="26">
        <v>1</v>
      </c>
      <c r="CY9" s="26">
        <v>1</v>
      </c>
      <c r="CZ9" s="26"/>
      <c r="DA9" s="26"/>
      <c r="DB9" s="26"/>
      <c r="DC9" s="26">
        <v>1</v>
      </c>
      <c r="DD9" s="26"/>
      <c r="DE9" s="26"/>
      <c r="DF9" s="26"/>
      <c r="DG9" s="26"/>
      <c r="DH9" s="26"/>
      <c r="DI9" s="26"/>
      <c r="DJ9" s="26"/>
      <c r="DK9" s="26"/>
      <c r="DL9" s="26"/>
      <c r="DM9" s="26">
        <v>158</v>
      </c>
    </row>
    <row r="10" spans="1:117" x14ac:dyDescent="0.3">
      <c r="A10" s="25" t="s">
        <v>181</v>
      </c>
      <c r="B10" s="26"/>
      <c r="C10" s="26"/>
      <c r="D10" s="26">
        <v>1</v>
      </c>
      <c r="E10" s="26"/>
      <c r="F10" s="26"/>
      <c r="G10" s="26"/>
      <c r="H10" s="26"/>
      <c r="I10" s="26">
        <v>52</v>
      </c>
      <c r="J10" s="26"/>
      <c r="K10" s="26"/>
      <c r="L10" s="26"/>
      <c r="M10" s="26"/>
      <c r="N10" s="26">
        <v>6</v>
      </c>
      <c r="O10" s="26">
        <v>1</v>
      </c>
      <c r="P10" s="26"/>
      <c r="Q10" s="26">
        <v>1</v>
      </c>
      <c r="R10" s="26"/>
      <c r="S10" s="26"/>
      <c r="T10" s="26"/>
      <c r="U10" s="26"/>
      <c r="V10" s="26"/>
      <c r="W10" s="26"/>
      <c r="X10" s="26">
        <v>2</v>
      </c>
      <c r="Y10" s="26"/>
      <c r="Z10" s="26"/>
      <c r="AA10" s="26">
        <v>14</v>
      </c>
      <c r="AB10" s="26"/>
      <c r="AC10" s="26"/>
      <c r="AD10" s="26">
        <v>14</v>
      </c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>
        <v>1</v>
      </c>
      <c r="AP10" s="26"/>
      <c r="AQ10" s="26"/>
      <c r="AR10" s="26">
        <v>17</v>
      </c>
      <c r="AS10" s="26">
        <v>3</v>
      </c>
      <c r="AT10" s="26"/>
      <c r="AU10" s="26"/>
      <c r="AV10" s="26">
        <v>1</v>
      </c>
      <c r="AW10" s="26">
        <v>25</v>
      </c>
      <c r="AX10" s="26"/>
      <c r="AY10" s="26"/>
      <c r="AZ10" s="26">
        <v>1</v>
      </c>
      <c r="BA10" s="26">
        <v>1</v>
      </c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>
        <v>1</v>
      </c>
      <c r="BM10" s="26"/>
      <c r="BN10" s="26"/>
      <c r="BO10" s="26">
        <v>1</v>
      </c>
      <c r="BP10" s="26">
        <v>9</v>
      </c>
      <c r="BQ10" s="26"/>
      <c r="BR10" s="26">
        <v>2</v>
      </c>
      <c r="BS10" s="26"/>
      <c r="BT10" s="26"/>
      <c r="BU10" s="26">
        <v>1</v>
      </c>
      <c r="BV10" s="26"/>
      <c r="BW10" s="26"/>
      <c r="BX10" s="26"/>
      <c r="BY10" s="26">
        <v>10</v>
      </c>
      <c r="BZ10" s="26"/>
      <c r="CA10" s="26"/>
      <c r="CB10" s="26"/>
      <c r="CC10" s="26"/>
      <c r="CD10" s="26"/>
      <c r="CE10" s="26"/>
      <c r="CF10" s="26"/>
      <c r="CG10" s="26">
        <v>17</v>
      </c>
      <c r="CH10" s="26"/>
      <c r="CI10" s="26"/>
      <c r="CJ10" s="26">
        <v>24</v>
      </c>
      <c r="CK10" s="26"/>
      <c r="CL10" s="26"/>
      <c r="CM10" s="26"/>
      <c r="CN10" s="26"/>
      <c r="CO10" s="26"/>
      <c r="CP10" s="26"/>
      <c r="CQ10" s="26">
        <v>4</v>
      </c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>
        <v>209</v>
      </c>
    </row>
    <row r="11" spans="1:117" x14ac:dyDescent="0.3">
      <c r="A11" s="25" t="s">
        <v>175</v>
      </c>
      <c r="B11" s="26"/>
      <c r="C11" s="26">
        <v>1</v>
      </c>
      <c r="D11" s="26">
        <v>1</v>
      </c>
      <c r="E11" s="26"/>
      <c r="F11" s="26"/>
      <c r="G11" s="26"/>
      <c r="H11" s="26"/>
      <c r="I11" s="26">
        <v>57</v>
      </c>
      <c r="J11" s="26"/>
      <c r="K11" s="26"/>
      <c r="L11" s="26"/>
      <c r="M11" s="26"/>
      <c r="N11" s="26">
        <v>16</v>
      </c>
      <c r="O11" s="26">
        <v>2</v>
      </c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>
        <v>26</v>
      </c>
      <c r="AB11" s="26"/>
      <c r="AC11" s="26">
        <v>1</v>
      </c>
      <c r="AD11" s="26">
        <v>14</v>
      </c>
      <c r="AE11" s="26"/>
      <c r="AF11" s="26"/>
      <c r="AG11" s="26">
        <v>1</v>
      </c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>
        <v>22</v>
      </c>
      <c r="AS11" s="26">
        <v>4</v>
      </c>
      <c r="AT11" s="26"/>
      <c r="AU11" s="26"/>
      <c r="AV11" s="26"/>
      <c r="AW11" s="26">
        <v>19</v>
      </c>
      <c r="AX11" s="26"/>
      <c r="AY11" s="26"/>
      <c r="AZ11" s="26">
        <v>1</v>
      </c>
      <c r="BA11" s="26">
        <v>3</v>
      </c>
      <c r="BB11" s="26">
        <v>1</v>
      </c>
      <c r="BC11" s="26"/>
      <c r="BD11" s="26">
        <v>1</v>
      </c>
      <c r="BE11" s="26"/>
      <c r="BF11" s="26"/>
      <c r="BG11" s="26"/>
      <c r="BH11" s="26">
        <v>1</v>
      </c>
      <c r="BI11" s="26"/>
      <c r="BJ11" s="26"/>
      <c r="BK11" s="26"/>
      <c r="BL11" s="26"/>
      <c r="BM11" s="26">
        <v>1</v>
      </c>
      <c r="BN11" s="26"/>
      <c r="BO11" s="26"/>
      <c r="BP11" s="26">
        <v>8</v>
      </c>
      <c r="BQ11" s="26"/>
      <c r="BR11" s="26">
        <v>1</v>
      </c>
      <c r="BS11" s="26">
        <v>2</v>
      </c>
      <c r="BT11" s="26"/>
      <c r="BU11" s="26">
        <v>2</v>
      </c>
      <c r="BV11" s="26"/>
      <c r="BW11" s="26"/>
      <c r="BX11" s="26"/>
      <c r="BY11" s="26">
        <v>12</v>
      </c>
      <c r="BZ11" s="26"/>
      <c r="CA11" s="26"/>
      <c r="CB11" s="26"/>
      <c r="CC11" s="26">
        <v>1</v>
      </c>
      <c r="CD11" s="26"/>
      <c r="CE11" s="26"/>
      <c r="CF11" s="26"/>
      <c r="CG11" s="26">
        <v>16</v>
      </c>
      <c r="CH11" s="26"/>
      <c r="CI11" s="26"/>
      <c r="CJ11" s="26">
        <v>18</v>
      </c>
      <c r="CK11" s="26"/>
      <c r="CL11" s="26"/>
      <c r="CM11" s="26">
        <v>1</v>
      </c>
      <c r="CN11" s="26"/>
      <c r="CO11" s="26">
        <v>6</v>
      </c>
      <c r="CP11" s="26"/>
      <c r="CQ11" s="26">
        <v>2</v>
      </c>
      <c r="CR11" s="26"/>
      <c r="CS11" s="26"/>
      <c r="CT11" s="26">
        <v>1</v>
      </c>
      <c r="CU11" s="26"/>
      <c r="CV11" s="26"/>
      <c r="CW11" s="26"/>
      <c r="CX11" s="26">
        <v>1</v>
      </c>
      <c r="CY11" s="26">
        <v>1</v>
      </c>
      <c r="CZ11" s="26"/>
      <c r="DA11" s="26"/>
      <c r="DB11" s="26"/>
      <c r="DC11" s="26">
        <v>1</v>
      </c>
      <c r="DD11" s="26"/>
      <c r="DE11" s="26"/>
      <c r="DF11" s="26"/>
      <c r="DG11" s="26"/>
      <c r="DH11" s="26"/>
      <c r="DI11" s="26"/>
      <c r="DJ11" s="26"/>
      <c r="DK11" s="26"/>
      <c r="DL11" s="26"/>
      <c r="DM11" s="26">
        <v>245</v>
      </c>
    </row>
    <row r="12" spans="1:117" x14ac:dyDescent="0.3">
      <c r="A12" s="25" t="s">
        <v>241</v>
      </c>
      <c r="B12" s="26"/>
      <c r="C12" s="26"/>
      <c r="D12" s="26"/>
      <c r="E12" s="26"/>
      <c r="F12" s="26"/>
      <c r="G12" s="26"/>
      <c r="H12" s="26"/>
      <c r="I12" s="26">
        <v>32</v>
      </c>
      <c r="J12" s="26"/>
      <c r="K12" s="26"/>
      <c r="L12" s="26"/>
      <c r="M12" s="26"/>
      <c r="N12" s="26">
        <v>4</v>
      </c>
      <c r="O12" s="26">
        <v>1</v>
      </c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>
        <v>12</v>
      </c>
      <c r="AB12" s="26"/>
      <c r="AC12" s="26"/>
      <c r="AD12" s="26">
        <v>6</v>
      </c>
      <c r="AE12" s="26"/>
      <c r="AF12" s="26"/>
      <c r="AG12" s="26"/>
      <c r="AH12" s="26"/>
      <c r="AI12" s="26"/>
      <c r="AJ12" s="26"/>
      <c r="AK12" s="26">
        <v>1</v>
      </c>
      <c r="AL12" s="26"/>
      <c r="AM12" s="26"/>
      <c r="AN12" s="26"/>
      <c r="AO12" s="26"/>
      <c r="AP12" s="26"/>
      <c r="AQ12" s="26"/>
      <c r="AR12" s="26">
        <v>8</v>
      </c>
      <c r="AS12" s="26">
        <v>5</v>
      </c>
      <c r="AT12" s="26"/>
      <c r="AU12" s="26"/>
      <c r="AV12" s="26"/>
      <c r="AW12" s="26">
        <v>17</v>
      </c>
      <c r="AX12" s="26"/>
      <c r="AY12" s="26"/>
      <c r="AZ12" s="26"/>
      <c r="BA12" s="26"/>
      <c r="BB12" s="26">
        <v>1</v>
      </c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>
        <v>10</v>
      </c>
      <c r="BQ12" s="26"/>
      <c r="BR12" s="26"/>
      <c r="BS12" s="26"/>
      <c r="BT12" s="26"/>
      <c r="BU12" s="26"/>
      <c r="BV12" s="26"/>
      <c r="BW12" s="26"/>
      <c r="BX12" s="26"/>
      <c r="BY12" s="26">
        <v>10</v>
      </c>
      <c r="BZ12" s="26"/>
      <c r="CA12" s="26"/>
      <c r="CB12" s="26"/>
      <c r="CC12" s="26"/>
      <c r="CD12" s="26"/>
      <c r="CE12" s="26"/>
      <c r="CF12" s="26"/>
      <c r="CG12" s="26">
        <v>13</v>
      </c>
      <c r="CH12" s="26"/>
      <c r="CI12" s="26"/>
      <c r="CJ12" s="26">
        <v>16</v>
      </c>
      <c r="CK12" s="26"/>
      <c r="CL12" s="26"/>
      <c r="CM12" s="26">
        <v>4</v>
      </c>
      <c r="CN12" s="26"/>
      <c r="CO12" s="26">
        <v>1</v>
      </c>
      <c r="CP12" s="26"/>
      <c r="CQ12" s="26">
        <v>2</v>
      </c>
      <c r="CR12" s="26"/>
      <c r="CS12" s="26"/>
      <c r="CT12" s="26"/>
      <c r="CU12" s="26"/>
      <c r="CV12" s="26"/>
      <c r="CW12" s="26"/>
      <c r="CX12" s="26"/>
      <c r="CY12" s="26">
        <v>1</v>
      </c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>
        <v>144</v>
      </c>
    </row>
    <row r="13" spans="1:117" x14ac:dyDescent="0.3">
      <c r="A13" s="25" t="s">
        <v>173</v>
      </c>
      <c r="B13" s="26"/>
      <c r="C13" s="26"/>
      <c r="D13" s="26">
        <v>2</v>
      </c>
      <c r="E13" s="26"/>
      <c r="F13" s="26"/>
      <c r="G13" s="26"/>
      <c r="H13" s="26"/>
      <c r="I13" s="26">
        <v>94</v>
      </c>
      <c r="J13" s="26"/>
      <c r="K13" s="26"/>
      <c r="L13" s="26"/>
      <c r="M13" s="26"/>
      <c r="N13" s="26">
        <v>30</v>
      </c>
      <c r="O13" s="26">
        <v>1</v>
      </c>
      <c r="P13" s="26"/>
      <c r="Q13" s="26">
        <v>1</v>
      </c>
      <c r="R13" s="26"/>
      <c r="S13" s="26">
        <v>2</v>
      </c>
      <c r="T13" s="26">
        <v>1</v>
      </c>
      <c r="U13" s="26"/>
      <c r="V13" s="26"/>
      <c r="W13" s="26"/>
      <c r="X13" s="26"/>
      <c r="Y13" s="26">
        <v>1</v>
      </c>
      <c r="Z13" s="26"/>
      <c r="AA13" s="26">
        <v>13</v>
      </c>
      <c r="AB13" s="26"/>
      <c r="AC13" s="26"/>
      <c r="AD13" s="26">
        <v>5</v>
      </c>
      <c r="AE13" s="26">
        <v>1</v>
      </c>
      <c r="AF13" s="26"/>
      <c r="AG13" s="26"/>
      <c r="AH13" s="26">
        <v>1</v>
      </c>
      <c r="AI13" s="26"/>
      <c r="AJ13" s="26"/>
      <c r="AK13" s="26">
        <v>18</v>
      </c>
      <c r="AL13" s="26"/>
      <c r="AM13" s="26"/>
      <c r="AN13" s="26"/>
      <c r="AO13" s="26"/>
      <c r="AP13" s="26"/>
      <c r="AQ13" s="26">
        <v>1</v>
      </c>
      <c r="AR13" s="26">
        <v>14</v>
      </c>
      <c r="AS13" s="26">
        <v>19</v>
      </c>
      <c r="AT13" s="26"/>
      <c r="AU13" s="26"/>
      <c r="AV13" s="26"/>
      <c r="AW13" s="26">
        <v>17</v>
      </c>
      <c r="AX13" s="26"/>
      <c r="AY13" s="26">
        <v>1</v>
      </c>
      <c r="AZ13" s="26"/>
      <c r="BA13" s="26">
        <v>4</v>
      </c>
      <c r="BB13" s="26"/>
      <c r="BC13" s="26"/>
      <c r="BD13" s="26"/>
      <c r="BE13" s="26"/>
      <c r="BF13" s="26"/>
      <c r="BG13" s="26">
        <v>1</v>
      </c>
      <c r="BH13" s="26"/>
      <c r="BI13" s="26"/>
      <c r="BJ13" s="26"/>
      <c r="BK13" s="26"/>
      <c r="BL13" s="26"/>
      <c r="BM13" s="26"/>
      <c r="BN13" s="26"/>
      <c r="BO13" s="26">
        <v>1</v>
      </c>
      <c r="BP13" s="26">
        <v>6</v>
      </c>
      <c r="BQ13" s="26"/>
      <c r="BR13" s="26"/>
      <c r="BS13" s="26"/>
      <c r="BT13" s="26"/>
      <c r="BU13" s="26"/>
      <c r="BV13" s="26"/>
      <c r="BW13" s="26"/>
      <c r="BX13" s="26"/>
      <c r="BY13" s="26">
        <v>15</v>
      </c>
      <c r="BZ13" s="26">
        <v>1</v>
      </c>
      <c r="CA13" s="26"/>
      <c r="CB13" s="26"/>
      <c r="CC13" s="26"/>
      <c r="CD13" s="26"/>
      <c r="CE13" s="26"/>
      <c r="CF13" s="26">
        <v>1</v>
      </c>
      <c r="CG13" s="26">
        <v>10</v>
      </c>
      <c r="CH13" s="26"/>
      <c r="CI13" s="26"/>
      <c r="CJ13" s="26">
        <v>21</v>
      </c>
      <c r="CK13" s="26">
        <v>1</v>
      </c>
      <c r="CL13" s="26"/>
      <c r="CM13" s="26">
        <v>15</v>
      </c>
      <c r="CN13" s="26">
        <v>1</v>
      </c>
      <c r="CO13" s="26">
        <v>3</v>
      </c>
      <c r="CP13" s="26">
        <v>1</v>
      </c>
      <c r="CQ13" s="26">
        <v>1</v>
      </c>
      <c r="CR13" s="26"/>
      <c r="CS13" s="26"/>
      <c r="CT13" s="26"/>
      <c r="CU13" s="26"/>
      <c r="CV13" s="26"/>
      <c r="CW13" s="26"/>
      <c r="CX13" s="26">
        <v>1</v>
      </c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>
        <v>1</v>
      </c>
      <c r="DK13" s="26"/>
      <c r="DL13" s="26"/>
      <c r="DM13" s="26">
        <v>306</v>
      </c>
    </row>
    <row r="14" spans="1:117" x14ac:dyDescent="0.3">
      <c r="A14" s="25" t="s">
        <v>167</v>
      </c>
      <c r="B14" s="26"/>
      <c r="C14" s="26"/>
      <c r="D14" s="26">
        <v>2</v>
      </c>
      <c r="E14" s="26"/>
      <c r="F14" s="26"/>
      <c r="G14" s="26"/>
      <c r="H14" s="26"/>
      <c r="I14" s="26">
        <v>186</v>
      </c>
      <c r="J14" s="26"/>
      <c r="K14" s="26"/>
      <c r="L14" s="26"/>
      <c r="M14" s="26"/>
      <c r="N14" s="26">
        <v>29</v>
      </c>
      <c r="O14" s="26"/>
      <c r="P14" s="26"/>
      <c r="Q14" s="26">
        <v>1</v>
      </c>
      <c r="R14" s="26"/>
      <c r="S14" s="26"/>
      <c r="T14" s="26"/>
      <c r="U14" s="26"/>
      <c r="V14" s="26"/>
      <c r="W14" s="26"/>
      <c r="X14" s="26">
        <v>1</v>
      </c>
      <c r="Y14" s="26"/>
      <c r="Z14" s="26"/>
      <c r="AA14" s="26">
        <v>98</v>
      </c>
      <c r="AB14" s="26"/>
      <c r="AC14" s="26">
        <v>1</v>
      </c>
      <c r="AD14" s="26">
        <v>58</v>
      </c>
      <c r="AE14" s="26"/>
      <c r="AF14" s="26"/>
      <c r="AG14" s="26">
        <v>1</v>
      </c>
      <c r="AH14" s="26"/>
      <c r="AI14" s="26"/>
      <c r="AJ14" s="26">
        <v>1</v>
      </c>
      <c r="AK14" s="26">
        <v>2</v>
      </c>
      <c r="AL14" s="26"/>
      <c r="AM14" s="26">
        <v>1</v>
      </c>
      <c r="AN14" s="26">
        <v>1</v>
      </c>
      <c r="AO14" s="26"/>
      <c r="AP14" s="26">
        <v>1</v>
      </c>
      <c r="AQ14" s="26"/>
      <c r="AR14" s="26">
        <v>66</v>
      </c>
      <c r="AS14" s="26">
        <v>7</v>
      </c>
      <c r="AT14" s="26"/>
      <c r="AU14" s="26"/>
      <c r="AV14" s="26">
        <v>1</v>
      </c>
      <c r="AW14" s="26">
        <v>78</v>
      </c>
      <c r="AX14" s="26">
        <v>1</v>
      </c>
      <c r="AY14" s="26"/>
      <c r="AZ14" s="26"/>
      <c r="BA14" s="26"/>
      <c r="BB14" s="26">
        <v>2</v>
      </c>
      <c r="BC14" s="26"/>
      <c r="BD14" s="26">
        <v>1</v>
      </c>
      <c r="BE14" s="26"/>
      <c r="BF14" s="26">
        <v>1</v>
      </c>
      <c r="BG14" s="26"/>
      <c r="BH14" s="26"/>
      <c r="BI14" s="26"/>
      <c r="BJ14" s="26"/>
      <c r="BK14" s="26"/>
      <c r="BL14" s="26"/>
      <c r="BM14" s="26"/>
      <c r="BN14" s="26"/>
      <c r="BO14" s="26">
        <v>1</v>
      </c>
      <c r="BP14" s="26">
        <v>46</v>
      </c>
      <c r="BQ14" s="26"/>
      <c r="BR14" s="26">
        <v>2</v>
      </c>
      <c r="BS14" s="26"/>
      <c r="BT14" s="26">
        <v>1</v>
      </c>
      <c r="BU14" s="26"/>
      <c r="BV14" s="26"/>
      <c r="BW14" s="26"/>
      <c r="BX14" s="26">
        <v>1</v>
      </c>
      <c r="BY14" s="26">
        <v>72</v>
      </c>
      <c r="BZ14" s="26"/>
      <c r="CA14" s="26">
        <v>1</v>
      </c>
      <c r="CB14" s="26"/>
      <c r="CC14" s="26"/>
      <c r="CD14" s="26">
        <v>1</v>
      </c>
      <c r="CE14" s="26"/>
      <c r="CF14" s="26"/>
      <c r="CG14" s="26">
        <v>47</v>
      </c>
      <c r="CH14" s="26"/>
      <c r="CI14" s="26"/>
      <c r="CJ14" s="26">
        <v>90</v>
      </c>
      <c r="CK14" s="26"/>
      <c r="CL14" s="26"/>
      <c r="CM14" s="26"/>
      <c r="CN14" s="26">
        <v>1</v>
      </c>
      <c r="CO14" s="26">
        <v>5</v>
      </c>
      <c r="CP14" s="26"/>
      <c r="CQ14" s="26">
        <v>6</v>
      </c>
      <c r="CR14" s="26">
        <v>2</v>
      </c>
      <c r="CS14" s="26"/>
      <c r="CT14" s="26">
        <v>1</v>
      </c>
      <c r="CU14" s="26"/>
      <c r="CV14" s="26"/>
      <c r="CW14" s="26"/>
      <c r="CX14" s="26"/>
      <c r="CY14" s="26">
        <v>3</v>
      </c>
      <c r="CZ14" s="26">
        <v>1</v>
      </c>
      <c r="DA14" s="26"/>
      <c r="DB14" s="26"/>
      <c r="DC14" s="26">
        <v>1</v>
      </c>
      <c r="DD14" s="26">
        <v>1</v>
      </c>
      <c r="DE14" s="26"/>
      <c r="DF14" s="26"/>
      <c r="DG14" s="26">
        <v>1</v>
      </c>
      <c r="DH14" s="26"/>
      <c r="DI14" s="26"/>
      <c r="DJ14" s="26"/>
      <c r="DK14" s="26"/>
      <c r="DL14" s="26">
        <v>4</v>
      </c>
      <c r="DM14" s="26">
        <v>828</v>
      </c>
    </row>
    <row r="15" spans="1:117" x14ac:dyDescent="0.3">
      <c r="A15" s="25" t="s">
        <v>179</v>
      </c>
      <c r="B15" s="26"/>
      <c r="C15" s="26"/>
      <c r="D15" s="26">
        <v>1</v>
      </c>
      <c r="E15" s="26"/>
      <c r="F15" s="26"/>
      <c r="G15" s="26"/>
      <c r="H15" s="26"/>
      <c r="I15" s="26">
        <v>41</v>
      </c>
      <c r="J15" s="26"/>
      <c r="K15" s="26"/>
      <c r="L15" s="26"/>
      <c r="M15" s="26"/>
      <c r="N15" s="26">
        <v>5</v>
      </c>
      <c r="O15" s="26">
        <v>3</v>
      </c>
      <c r="P15" s="26"/>
      <c r="Q15" s="26">
        <v>1</v>
      </c>
      <c r="R15" s="26"/>
      <c r="S15" s="26"/>
      <c r="T15" s="26"/>
      <c r="U15" s="26"/>
      <c r="V15" s="26"/>
      <c r="W15" s="26"/>
      <c r="X15" s="26"/>
      <c r="Y15" s="26"/>
      <c r="Z15" s="26"/>
      <c r="AA15" s="26">
        <v>10</v>
      </c>
      <c r="AB15" s="26"/>
      <c r="AC15" s="26"/>
      <c r="AD15" s="26">
        <v>22</v>
      </c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>
        <v>25</v>
      </c>
      <c r="AS15" s="26">
        <v>3</v>
      </c>
      <c r="AT15" s="26"/>
      <c r="AU15" s="26">
        <v>1</v>
      </c>
      <c r="AV15" s="26"/>
      <c r="AW15" s="26">
        <v>23</v>
      </c>
      <c r="AX15" s="26"/>
      <c r="AY15" s="26"/>
      <c r="AZ15" s="26"/>
      <c r="BA15" s="26">
        <v>1</v>
      </c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>
        <v>22</v>
      </c>
      <c r="BQ15" s="26"/>
      <c r="BR15" s="26"/>
      <c r="BS15" s="26"/>
      <c r="BT15" s="26"/>
      <c r="BU15" s="26"/>
      <c r="BV15" s="26"/>
      <c r="BW15" s="26"/>
      <c r="BX15" s="26"/>
      <c r="BY15" s="26">
        <v>19</v>
      </c>
      <c r="BZ15" s="26"/>
      <c r="CA15" s="26"/>
      <c r="CB15" s="26"/>
      <c r="CC15" s="26"/>
      <c r="CD15" s="26">
        <v>1</v>
      </c>
      <c r="CE15" s="26">
        <v>1</v>
      </c>
      <c r="CF15" s="26">
        <v>1</v>
      </c>
      <c r="CG15" s="26">
        <v>18</v>
      </c>
      <c r="CH15" s="26"/>
      <c r="CI15" s="26"/>
      <c r="CJ15" s="26">
        <v>19</v>
      </c>
      <c r="CK15" s="26"/>
      <c r="CL15" s="26"/>
      <c r="CM15" s="26">
        <v>1</v>
      </c>
      <c r="CN15" s="26"/>
      <c r="CO15" s="26">
        <v>3</v>
      </c>
      <c r="CP15" s="26"/>
      <c r="CQ15" s="26">
        <v>1</v>
      </c>
      <c r="CR15" s="26"/>
      <c r="CS15" s="26"/>
      <c r="CT15" s="26"/>
      <c r="CU15" s="26"/>
      <c r="CV15" s="26">
        <v>1</v>
      </c>
      <c r="CW15" s="26"/>
      <c r="CX15" s="26"/>
      <c r="CY15" s="26">
        <v>1</v>
      </c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>
        <v>224</v>
      </c>
    </row>
    <row r="16" spans="1:117" x14ac:dyDescent="0.3">
      <c r="A16" s="25" t="s">
        <v>265</v>
      </c>
      <c r="B16" s="26"/>
      <c r="C16" s="26"/>
      <c r="D16" s="26">
        <v>1</v>
      </c>
      <c r="E16" s="26"/>
      <c r="F16" s="26"/>
      <c r="G16" s="26"/>
      <c r="H16" s="26"/>
      <c r="I16" s="26">
        <v>32</v>
      </c>
      <c r="J16" s="26"/>
      <c r="K16" s="26"/>
      <c r="L16" s="26"/>
      <c r="M16" s="26"/>
      <c r="N16" s="26">
        <v>7</v>
      </c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>
        <v>10</v>
      </c>
      <c r="AB16" s="26"/>
      <c r="AC16" s="26"/>
      <c r="AD16" s="26">
        <v>3</v>
      </c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>
        <v>10</v>
      </c>
      <c r="AS16" s="26">
        <v>1</v>
      </c>
      <c r="AT16" s="26"/>
      <c r="AU16" s="26"/>
      <c r="AV16" s="26"/>
      <c r="AW16" s="26">
        <v>15</v>
      </c>
      <c r="AX16" s="26"/>
      <c r="AY16" s="26"/>
      <c r="AZ16" s="26"/>
      <c r="BA16" s="26"/>
      <c r="BB16" s="26">
        <v>1</v>
      </c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>
        <v>5</v>
      </c>
      <c r="BQ16" s="26"/>
      <c r="BR16" s="26"/>
      <c r="BS16" s="26"/>
      <c r="BT16" s="26"/>
      <c r="BU16" s="26"/>
      <c r="BV16" s="26"/>
      <c r="BW16" s="26"/>
      <c r="BX16" s="26"/>
      <c r="BY16" s="26">
        <v>9</v>
      </c>
      <c r="BZ16" s="26"/>
      <c r="CA16" s="26"/>
      <c r="CB16" s="26"/>
      <c r="CC16" s="26"/>
      <c r="CD16" s="26"/>
      <c r="CE16" s="26"/>
      <c r="CF16" s="26"/>
      <c r="CG16" s="26">
        <v>2</v>
      </c>
      <c r="CH16" s="26"/>
      <c r="CI16" s="26"/>
      <c r="CJ16" s="26">
        <v>13</v>
      </c>
      <c r="CK16" s="26"/>
      <c r="CL16" s="26"/>
      <c r="CM16" s="26"/>
      <c r="CN16" s="26"/>
      <c r="CO16" s="26">
        <v>4</v>
      </c>
      <c r="CP16" s="26"/>
      <c r="CQ16" s="26">
        <v>2</v>
      </c>
      <c r="CR16" s="26"/>
      <c r="CS16" s="26"/>
      <c r="CT16" s="26">
        <v>1</v>
      </c>
      <c r="CU16" s="26"/>
      <c r="CV16" s="26"/>
      <c r="CW16" s="26"/>
      <c r="CX16" s="26"/>
      <c r="CY16" s="26">
        <v>1</v>
      </c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>
        <v>117</v>
      </c>
    </row>
    <row r="17" spans="1:117" x14ac:dyDescent="0.3">
      <c r="A17" s="25" t="s">
        <v>266</v>
      </c>
      <c r="B17" s="26"/>
      <c r="C17" s="26"/>
      <c r="D17" s="26">
        <v>1</v>
      </c>
      <c r="E17" s="26"/>
      <c r="F17" s="26"/>
      <c r="G17" s="26"/>
      <c r="H17" s="26"/>
      <c r="I17" s="26">
        <v>49</v>
      </c>
      <c r="J17" s="26"/>
      <c r="K17" s="26">
        <v>1</v>
      </c>
      <c r="L17" s="26"/>
      <c r="M17" s="26"/>
      <c r="N17" s="26">
        <v>9</v>
      </c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>
        <v>12</v>
      </c>
      <c r="AB17" s="26"/>
      <c r="AC17" s="26"/>
      <c r="AD17" s="26">
        <v>10</v>
      </c>
      <c r="AE17" s="26"/>
      <c r="AF17" s="26"/>
      <c r="AG17" s="26"/>
      <c r="AH17" s="26"/>
      <c r="AI17" s="26"/>
      <c r="AJ17" s="26"/>
      <c r="AK17" s="26">
        <v>2</v>
      </c>
      <c r="AL17" s="26"/>
      <c r="AM17" s="26"/>
      <c r="AN17" s="26"/>
      <c r="AO17" s="26"/>
      <c r="AP17" s="26"/>
      <c r="AQ17" s="26">
        <v>1</v>
      </c>
      <c r="AR17" s="26">
        <v>14</v>
      </c>
      <c r="AS17" s="26">
        <v>8</v>
      </c>
      <c r="AT17" s="26"/>
      <c r="AU17" s="26"/>
      <c r="AV17" s="26"/>
      <c r="AW17" s="26">
        <v>22</v>
      </c>
      <c r="AX17" s="26"/>
      <c r="AY17" s="26"/>
      <c r="AZ17" s="26"/>
      <c r="BA17" s="26">
        <v>2</v>
      </c>
      <c r="BB17" s="26">
        <v>2</v>
      </c>
      <c r="BC17" s="26"/>
      <c r="BD17" s="26"/>
      <c r="BE17" s="26"/>
      <c r="BF17" s="26"/>
      <c r="BG17" s="26"/>
      <c r="BH17" s="26">
        <v>1</v>
      </c>
      <c r="BI17" s="26">
        <v>1</v>
      </c>
      <c r="BJ17" s="26"/>
      <c r="BK17" s="26"/>
      <c r="BL17" s="26"/>
      <c r="BM17" s="26"/>
      <c r="BN17" s="26"/>
      <c r="BO17" s="26"/>
      <c r="BP17" s="26">
        <v>13</v>
      </c>
      <c r="BQ17" s="26"/>
      <c r="BR17" s="26"/>
      <c r="BS17" s="26">
        <v>1</v>
      </c>
      <c r="BT17" s="26">
        <v>1</v>
      </c>
      <c r="BU17" s="26"/>
      <c r="BV17" s="26"/>
      <c r="BW17" s="26"/>
      <c r="BX17" s="26"/>
      <c r="BY17" s="26">
        <v>12</v>
      </c>
      <c r="BZ17" s="26"/>
      <c r="CA17" s="26"/>
      <c r="CB17" s="26"/>
      <c r="CC17" s="26"/>
      <c r="CD17" s="26"/>
      <c r="CE17" s="26"/>
      <c r="CF17" s="26">
        <v>1</v>
      </c>
      <c r="CG17" s="26">
        <v>6</v>
      </c>
      <c r="CH17" s="26"/>
      <c r="CI17" s="26"/>
      <c r="CJ17" s="26">
        <v>18</v>
      </c>
      <c r="CK17" s="26"/>
      <c r="CL17" s="26"/>
      <c r="CM17" s="26">
        <v>9</v>
      </c>
      <c r="CN17" s="26"/>
      <c r="CO17" s="26"/>
      <c r="CP17" s="26"/>
      <c r="CQ17" s="26">
        <v>3</v>
      </c>
      <c r="CR17" s="26"/>
      <c r="CS17" s="26"/>
      <c r="CT17" s="26"/>
      <c r="CU17" s="26"/>
      <c r="CV17" s="26"/>
      <c r="CW17" s="26"/>
      <c r="CX17" s="26">
        <v>1</v>
      </c>
      <c r="CY17" s="26">
        <v>1</v>
      </c>
      <c r="CZ17" s="26"/>
      <c r="DA17" s="26"/>
      <c r="DB17" s="26"/>
      <c r="DC17" s="26">
        <v>1</v>
      </c>
      <c r="DD17" s="26"/>
      <c r="DE17" s="26"/>
      <c r="DF17" s="26"/>
      <c r="DG17" s="26"/>
      <c r="DH17" s="26"/>
      <c r="DI17" s="26"/>
      <c r="DJ17" s="26"/>
      <c r="DK17" s="26"/>
      <c r="DL17" s="26"/>
      <c r="DM17" s="26">
        <v>202</v>
      </c>
    </row>
    <row r="18" spans="1:117" x14ac:dyDescent="0.3">
      <c r="A18" s="25" t="s">
        <v>267</v>
      </c>
      <c r="B18" s="26"/>
      <c r="C18" s="26"/>
      <c r="D18" s="26"/>
      <c r="E18" s="26"/>
      <c r="F18" s="26"/>
      <c r="G18" s="26"/>
      <c r="H18" s="26"/>
      <c r="I18" s="26">
        <v>13</v>
      </c>
      <c r="J18" s="26"/>
      <c r="K18" s="26"/>
      <c r="L18" s="26"/>
      <c r="M18" s="26"/>
      <c r="N18" s="26">
        <v>5</v>
      </c>
      <c r="O18" s="26"/>
      <c r="P18" s="26"/>
      <c r="Q18" s="26">
        <v>2</v>
      </c>
      <c r="R18" s="26">
        <v>1</v>
      </c>
      <c r="S18" s="26"/>
      <c r="T18" s="26"/>
      <c r="U18" s="26"/>
      <c r="V18" s="26"/>
      <c r="W18" s="26"/>
      <c r="X18" s="26"/>
      <c r="Y18" s="26"/>
      <c r="Z18" s="26"/>
      <c r="AA18" s="26">
        <v>6</v>
      </c>
      <c r="AB18" s="26"/>
      <c r="AC18" s="26"/>
      <c r="AD18" s="26">
        <v>8</v>
      </c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>
        <v>4</v>
      </c>
      <c r="AS18" s="26">
        <v>40</v>
      </c>
      <c r="AT18" s="26"/>
      <c r="AU18" s="26"/>
      <c r="AV18" s="26"/>
      <c r="AW18" s="26">
        <v>4</v>
      </c>
      <c r="AX18" s="26"/>
      <c r="AY18" s="26"/>
      <c r="AZ18" s="26"/>
      <c r="BA18" s="26">
        <v>5</v>
      </c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>
        <v>7</v>
      </c>
      <c r="BQ18" s="26"/>
      <c r="BR18" s="26"/>
      <c r="BS18" s="26"/>
      <c r="BT18" s="26"/>
      <c r="BU18" s="26"/>
      <c r="BV18" s="26"/>
      <c r="BW18" s="26"/>
      <c r="BX18" s="26"/>
      <c r="BY18" s="26">
        <v>3</v>
      </c>
      <c r="BZ18" s="26"/>
      <c r="CA18" s="26"/>
      <c r="CB18" s="26"/>
      <c r="CC18" s="26"/>
      <c r="CD18" s="26"/>
      <c r="CE18" s="26"/>
      <c r="CF18" s="26"/>
      <c r="CG18" s="26">
        <v>5</v>
      </c>
      <c r="CH18" s="26"/>
      <c r="CI18" s="26">
        <v>1</v>
      </c>
      <c r="CJ18" s="26">
        <v>4</v>
      </c>
      <c r="CK18" s="26"/>
      <c r="CL18" s="26"/>
      <c r="CM18" s="26"/>
      <c r="CN18" s="26"/>
      <c r="CO18" s="26"/>
      <c r="CP18" s="26"/>
      <c r="CQ18" s="26"/>
      <c r="CR18" s="26"/>
      <c r="CS18" s="26"/>
      <c r="CT18" s="26">
        <v>1</v>
      </c>
      <c r="CU18" s="26"/>
      <c r="CV18" s="26"/>
      <c r="CW18" s="26"/>
      <c r="CX18" s="26"/>
      <c r="CY18" s="26">
        <v>1</v>
      </c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>
        <v>110</v>
      </c>
    </row>
    <row r="19" spans="1:117" x14ac:dyDescent="0.3">
      <c r="A19" s="25" t="s">
        <v>268</v>
      </c>
      <c r="B19" s="26"/>
      <c r="C19" s="26"/>
      <c r="D19" s="26"/>
      <c r="E19" s="26"/>
      <c r="F19" s="26"/>
      <c r="G19" s="26"/>
      <c r="H19" s="26"/>
      <c r="I19" s="26">
        <v>28</v>
      </c>
      <c r="J19" s="26"/>
      <c r="K19" s="26">
        <v>1</v>
      </c>
      <c r="L19" s="26"/>
      <c r="M19" s="26"/>
      <c r="N19" s="26">
        <v>5</v>
      </c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>
        <v>3</v>
      </c>
      <c r="AB19" s="26"/>
      <c r="AC19" s="26"/>
      <c r="AD19" s="26">
        <v>11</v>
      </c>
      <c r="AE19" s="26"/>
      <c r="AF19" s="26"/>
      <c r="AG19" s="26"/>
      <c r="AH19" s="26"/>
      <c r="AI19" s="26"/>
      <c r="AJ19" s="26">
        <v>1</v>
      </c>
      <c r="AK19" s="26"/>
      <c r="AL19" s="26">
        <v>1</v>
      </c>
      <c r="AM19" s="26"/>
      <c r="AN19" s="26"/>
      <c r="AO19" s="26"/>
      <c r="AP19" s="26"/>
      <c r="AQ19" s="26"/>
      <c r="AR19" s="26">
        <v>4</v>
      </c>
      <c r="AS19" s="26"/>
      <c r="AT19" s="26"/>
      <c r="AU19" s="26"/>
      <c r="AV19" s="26"/>
      <c r="AW19" s="26">
        <v>6</v>
      </c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>
        <v>1</v>
      </c>
      <c r="BP19" s="26">
        <v>5</v>
      </c>
      <c r="BQ19" s="26"/>
      <c r="BR19" s="26"/>
      <c r="BS19" s="26"/>
      <c r="BT19" s="26"/>
      <c r="BU19" s="26"/>
      <c r="BV19" s="26"/>
      <c r="BW19" s="26">
        <v>1</v>
      </c>
      <c r="BX19" s="26"/>
      <c r="BY19" s="26">
        <v>7</v>
      </c>
      <c r="BZ19" s="26"/>
      <c r="CA19" s="26"/>
      <c r="CB19" s="26"/>
      <c r="CC19" s="26"/>
      <c r="CD19" s="26"/>
      <c r="CE19" s="26"/>
      <c r="CF19" s="26"/>
      <c r="CG19" s="26">
        <v>3</v>
      </c>
      <c r="CH19" s="26"/>
      <c r="CI19" s="26"/>
      <c r="CJ19" s="26">
        <v>7</v>
      </c>
      <c r="CK19" s="26"/>
      <c r="CL19" s="26"/>
      <c r="CM19" s="26"/>
      <c r="CN19" s="26"/>
      <c r="CO19" s="26">
        <v>1</v>
      </c>
      <c r="CP19" s="26"/>
      <c r="CQ19" s="26">
        <v>1</v>
      </c>
      <c r="CR19" s="26"/>
      <c r="CS19" s="26"/>
      <c r="CT19" s="26">
        <v>1</v>
      </c>
      <c r="CU19" s="26"/>
      <c r="CV19" s="26"/>
      <c r="CW19" s="26"/>
      <c r="CX19" s="26"/>
      <c r="CY19" s="26">
        <v>1</v>
      </c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>
        <v>1</v>
      </c>
      <c r="DM19" s="26">
        <v>89</v>
      </c>
    </row>
    <row r="20" spans="1:117" x14ac:dyDescent="0.3">
      <c r="A20" s="25" t="s">
        <v>270</v>
      </c>
      <c r="B20" s="26"/>
      <c r="C20" s="26"/>
      <c r="D20" s="26"/>
      <c r="E20" s="26"/>
      <c r="F20" s="26"/>
      <c r="G20" s="26"/>
      <c r="H20" s="26"/>
      <c r="I20" s="26">
        <v>14</v>
      </c>
      <c r="J20" s="26"/>
      <c r="K20" s="26"/>
      <c r="L20" s="26"/>
      <c r="M20" s="26"/>
      <c r="N20" s="26">
        <v>3</v>
      </c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>
        <v>6</v>
      </c>
      <c r="AB20" s="26"/>
      <c r="AC20" s="26"/>
      <c r="AD20" s="26">
        <v>5</v>
      </c>
      <c r="AE20" s="26"/>
      <c r="AF20" s="26"/>
      <c r="AG20" s="26"/>
      <c r="AH20" s="26"/>
      <c r="AI20" s="26"/>
      <c r="AJ20" s="26"/>
      <c r="AK20" s="26"/>
      <c r="AL20" s="26"/>
      <c r="AM20" s="26">
        <v>1</v>
      </c>
      <c r="AN20" s="26"/>
      <c r="AO20" s="26"/>
      <c r="AP20" s="26"/>
      <c r="AQ20" s="26"/>
      <c r="AR20" s="26">
        <v>11</v>
      </c>
      <c r="AS20" s="26"/>
      <c r="AT20" s="26"/>
      <c r="AU20" s="26"/>
      <c r="AV20" s="26"/>
      <c r="AW20" s="26">
        <v>6</v>
      </c>
      <c r="AX20" s="26"/>
      <c r="AY20" s="26"/>
      <c r="AZ20" s="26"/>
      <c r="BA20" s="26"/>
      <c r="BB20" s="26"/>
      <c r="BC20" s="26"/>
      <c r="BD20" s="26">
        <v>1</v>
      </c>
      <c r="BE20" s="26"/>
      <c r="BF20" s="26"/>
      <c r="BG20" s="26"/>
      <c r="BH20" s="26">
        <v>1</v>
      </c>
      <c r="BI20" s="26"/>
      <c r="BJ20" s="26"/>
      <c r="BK20" s="26"/>
      <c r="BL20" s="26"/>
      <c r="BM20" s="26"/>
      <c r="BN20" s="26"/>
      <c r="BO20" s="26"/>
      <c r="BP20" s="26">
        <v>1</v>
      </c>
      <c r="BQ20" s="26"/>
      <c r="BR20" s="26"/>
      <c r="BS20" s="26"/>
      <c r="BT20" s="26"/>
      <c r="BU20" s="26"/>
      <c r="BV20" s="26"/>
      <c r="BW20" s="26"/>
      <c r="BX20" s="26"/>
      <c r="BY20" s="26">
        <v>9</v>
      </c>
      <c r="BZ20" s="26"/>
      <c r="CA20" s="26"/>
      <c r="CB20" s="26"/>
      <c r="CC20" s="26"/>
      <c r="CD20" s="26"/>
      <c r="CE20" s="26"/>
      <c r="CF20" s="26"/>
      <c r="CG20" s="26">
        <v>3</v>
      </c>
      <c r="CH20" s="26"/>
      <c r="CI20" s="26"/>
      <c r="CJ20" s="26">
        <v>13</v>
      </c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>
        <v>1</v>
      </c>
      <c r="DD20" s="26"/>
      <c r="DE20" s="26"/>
      <c r="DF20" s="26"/>
      <c r="DG20" s="26"/>
      <c r="DH20" s="26"/>
      <c r="DI20" s="26"/>
      <c r="DJ20" s="26"/>
      <c r="DK20" s="26"/>
      <c r="DL20" s="26"/>
      <c r="DM20" s="26">
        <v>75</v>
      </c>
    </row>
    <row r="21" spans="1:117" x14ac:dyDescent="0.3">
      <c r="A21" s="25" t="s">
        <v>271</v>
      </c>
      <c r="B21" s="26"/>
      <c r="C21" s="26"/>
      <c r="D21" s="26"/>
      <c r="E21" s="26"/>
      <c r="F21" s="26"/>
      <c r="G21" s="26"/>
      <c r="H21" s="26"/>
      <c r="I21" s="26">
        <v>24</v>
      </c>
      <c r="J21" s="26"/>
      <c r="K21" s="26"/>
      <c r="L21" s="26"/>
      <c r="M21" s="26"/>
      <c r="N21" s="26">
        <v>5</v>
      </c>
      <c r="O21" s="26"/>
      <c r="P21" s="26"/>
      <c r="Q21" s="26">
        <v>1</v>
      </c>
      <c r="R21" s="26"/>
      <c r="S21" s="26"/>
      <c r="T21" s="26">
        <v>1</v>
      </c>
      <c r="U21" s="26"/>
      <c r="V21" s="26"/>
      <c r="W21" s="26"/>
      <c r="X21" s="26">
        <v>1</v>
      </c>
      <c r="Y21" s="26"/>
      <c r="Z21" s="26"/>
      <c r="AA21" s="26">
        <v>8</v>
      </c>
      <c r="AB21" s="26"/>
      <c r="AC21" s="26"/>
      <c r="AD21" s="26">
        <v>10</v>
      </c>
      <c r="AE21" s="26"/>
      <c r="AF21" s="26"/>
      <c r="AG21" s="26"/>
      <c r="AH21" s="26"/>
      <c r="AI21" s="26"/>
      <c r="AJ21" s="26">
        <v>1</v>
      </c>
      <c r="AK21" s="26"/>
      <c r="AL21" s="26"/>
      <c r="AM21" s="26"/>
      <c r="AN21" s="26"/>
      <c r="AO21" s="26"/>
      <c r="AP21" s="26"/>
      <c r="AQ21" s="26"/>
      <c r="AR21" s="26">
        <v>10</v>
      </c>
      <c r="AS21" s="26">
        <v>1</v>
      </c>
      <c r="AT21" s="26"/>
      <c r="AU21" s="26"/>
      <c r="AV21" s="26"/>
      <c r="AW21" s="26">
        <v>10</v>
      </c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>
        <v>1</v>
      </c>
      <c r="BP21" s="26">
        <v>16</v>
      </c>
      <c r="BQ21" s="26">
        <v>1</v>
      </c>
      <c r="BR21" s="26">
        <v>1</v>
      </c>
      <c r="BS21" s="26"/>
      <c r="BT21" s="26"/>
      <c r="BU21" s="26"/>
      <c r="BV21" s="26"/>
      <c r="BW21" s="26">
        <v>1</v>
      </c>
      <c r="BX21" s="26"/>
      <c r="BY21" s="26">
        <v>4</v>
      </c>
      <c r="BZ21" s="26"/>
      <c r="CA21" s="26"/>
      <c r="CB21" s="26"/>
      <c r="CC21" s="26"/>
      <c r="CD21" s="26"/>
      <c r="CE21" s="26">
        <v>1</v>
      </c>
      <c r="CF21" s="26"/>
      <c r="CG21" s="26">
        <v>6</v>
      </c>
      <c r="CH21" s="26"/>
      <c r="CI21" s="26"/>
      <c r="CJ21" s="26">
        <v>7</v>
      </c>
      <c r="CK21" s="26"/>
      <c r="CL21" s="26"/>
      <c r="CM21" s="26"/>
      <c r="CN21" s="26"/>
      <c r="CO21" s="26">
        <v>3</v>
      </c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>
        <v>1</v>
      </c>
      <c r="DG21" s="26"/>
      <c r="DH21" s="26"/>
      <c r="DI21" s="26"/>
      <c r="DJ21" s="26"/>
      <c r="DK21" s="26"/>
      <c r="DL21" s="26"/>
      <c r="DM21" s="26">
        <v>114</v>
      </c>
    </row>
    <row r="22" spans="1:117" x14ac:dyDescent="0.3">
      <c r="A22" s="25" t="s">
        <v>274</v>
      </c>
      <c r="B22" s="26"/>
      <c r="C22" s="26"/>
      <c r="D22" s="26"/>
      <c r="E22" s="26"/>
      <c r="F22" s="26"/>
      <c r="G22" s="26"/>
      <c r="H22" s="26"/>
      <c r="I22" s="26">
        <v>32</v>
      </c>
      <c r="J22" s="26"/>
      <c r="K22" s="26">
        <v>1</v>
      </c>
      <c r="L22" s="26"/>
      <c r="M22" s="26"/>
      <c r="N22" s="26">
        <v>1</v>
      </c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>
        <v>4</v>
      </c>
      <c r="AB22" s="26"/>
      <c r="AC22" s="26"/>
      <c r="AD22" s="26">
        <v>4</v>
      </c>
      <c r="AE22" s="26"/>
      <c r="AF22" s="26"/>
      <c r="AG22" s="26"/>
      <c r="AH22" s="26"/>
      <c r="AI22" s="26"/>
      <c r="AJ22" s="26">
        <v>1</v>
      </c>
      <c r="AK22" s="26"/>
      <c r="AL22" s="26">
        <v>1</v>
      </c>
      <c r="AM22" s="26"/>
      <c r="AN22" s="26"/>
      <c r="AO22" s="26"/>
      <c r="AP22" s="26"/>
      <c r="AQ22" s="26"/>
      <c r="AR22" s="26">
        <v>3</v>
      </c>
      <c r="AS22" s="26"/>
      <c r="AT22" s="26"/>
      <c r="AU22" s="26"/>
      <c r="AV22" s="26"/>
      <c r="AW22" s="26">
        <v>11</v>
      </c>
      <c r="AX22" s="26"/>
      <c r="AY22" s="26"/>
      <c r="AZ22" s="26"/>
      <c r="BA22" s="26"/>
      <c r="BB22" s="26">
        <v>1</v>
      </c>
      <c r="BC22" s="26"/>
      <c r="BD22" s="26"/>
      <c r="BE22" s="26">
        <v>1</v>
      </c>
      <c r="BF22" s="26"/>
      <c r="BG22" s="26"/>
      <c r="BH22" s="26"/>
      <c r="BI22" s="26"/>
      <c r="BJ22" s="26"/>
      <c r="BK22" s="26"/>
      <c r="BL22" s="26"/>
      <c r="BM22" s="26"/>
      <c r="BN22" s="26"/>
      <c r="BO22" s="26">
        <v>1</v>
      </c>
      <c r="BP22" s="26">
        <v>4</v>
      </c>
      <c r="BQ22" s="26"/>
      <c r="BR22" s="26"/>
      <c r="BS22" s="26"/>
      <c r="BT22" s="26"/>
      <c r="BU22" s="26"/>
      <c r="BV22" s="26"/>
      <c r="BW22" s="26"/>
      <c r="BX22" s="26"/>
      <c r="BY22" s="26">
        <v>6</v>
      </c>
      <c r="BZ22" s="26"/>
      <c r="CA22" s="26"/>
      <c r="CB22" s="26"/>
      <c r="CC22" s="26"/>
      <c r="CD22" s="26"/>
      <c r="CE22" s="26"/>
      <c r="CF22" s="26"/>
      <c r="CG22" s="26">
        <v>9</v>
      </c>
      <c r="CH22" s="26"/>
      <c r="CI22" s="26"/>
      <c r="CJ22" s="26">
        <v>6</v>
      </c>
      <c r="CK22" s="26"/>
      <c r="CL22" s="26"/>
      <c r="CM22" s="26">
        <v>9</v>
      </c>
      <c r="CN22" s="26"/>
      <c r="CO22" s="26"/>
      <c r="CP22" s="26"/>
      <c r="CQ22" s="26">
        <v>1</v>
      </c>
      <c r="CR22" s="26"/>
      <c r="CS22" s="26"/>
      <c r="CT22" s="26">
        <v>1</v>
      </c>
      <c r="CU22" s="26"/>
      <c r="CV22" s="26"/>
      <c r="CW22" s="26"/>
      <c r="CX22" s="26"/>
      <c r="CY22" s="26">
        <v>1</v>
      </c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>
        <v>1</v>
      </c>
      <c r="DM22" s="26">
        <v>99</v>
      </c>
    </row>
    <row r="23" spans="1:117" x14ac:dyDescent="0.3">
      <c r="A23" s="25" t="s">
        <v>276</v>
      </c>
      <c r="B23" s="26"/>
      <c r="C23" s="26"/>
      <c r="D23" s="26">
        <v>1</v>
      </c>
      <c r="E23" s="26"/>
      <c r="F23" s="26"/>
      <c r="G23" s="26"/>
      <c r="H23" s="26">
        <v>2</v>
      </c>
      <c r="I23" s="26">
        <v>18</v>
      </c>
      <c r="J23" s="26"/>
      <c r="K23" s="26"/>
      <c r="L23" s="26">
        <v>1</v>
      </c>
      <c r="M23" s="26"/>
      <c r="N23" s="26">
        <v>1</v>
      </c>
      <c r="O23" s="26"/>
      <c r="P23" s="26"/>
      <c r="Q23" s="26"/>
      <c r="R23" s="26"/>
      <c r="S23" s="26"/>
      <c r="T23" s="26"/>
      <c r="U23" s="26"/>
      <c r="V23" s="26"/>
      <c r="W23" s="26"/>
      <c r="X23" s="26">
        <v>1</v>
      </c>
      <c r="Y23" s="26"/>
      <c r="Z23" s="26"/>
      <c r="AA23" s="26">
        <v>8</v>
      </c>
      <c r="AB23" s="26"/>
      <c r="AC23" s="26"/>
      <c r="AD23" s="26">
        <v>6</v>
      </c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>
        <v>1</v>
      </c>
      <c r="AQ23" s="26"/>
      <c r="AR23" s="26">
        <v>14</v>
      </c>
      <c r="AS23" s="26"/>
      <c r="AT23" s="26"/>
      <c r="AU23" s="26"/>
      <c r="AV23" s="26"/>
      <c r="AW23" s="26">
        <v>8</v>
      </c>
      <c r="AX23" s="26"/>
      <c r="AY23" s="26"/>
      <c r="AZ23" s="26"/>
      <c r="BA23" s="26"/>
      <c r="BB23" s="26"/>
      <c r="BC23" s="26"/>
      <c r="BD23" s="26"/>
      <c r="BE23" s="26"/>
      <c r="BF23" s="26"/>
      <c r="BG23" s="26">
        <v>1</v>
      </c>
      <c r="BH23" s="26"/>
      <c r="BI23" s="26"/>
      <c r="BJ23" s="26"/>
      <c r="BK23" s="26"/>
      <c r="BL23" s="26"/>
      <c r="BM23" s="26"/>
      <c r="BN23" s="26"/>
      <c r="BO23" s="26"/>
      <c r="BP23" s="26">
        <v>1</v>
      </c>
      <c r="BQ23" s="26"/>
      <c r="BR23" s="26"/>
      <c r="BS23" s="26"/>
      <c r="BT23" s="26"/>
      <c r="BU23" s="26">
        <v>1</v>
      </c>
      <c r="BV23" s="26"/>
      <c r="BW23" s="26"/>
      <c r="BX23" s="26"/>
      <c r="BY23" s="26">
        <v>11</v>
      </c>
      <c r="BZ23" s="26"/>
      <c r="CA23" s="26"/>
      <c r="CB23" s="26"/>
      <c r="CC23" s="26"/>
      <c r="CD23" s="26"/>
      <c r="CE23" s="26"/>
      <c r="CF23" s="26">
        <v>1</v>
      </c>
      <c r="CG23" s="26">
        <v>7</v>
      </c>
      <c r="CH23" s="26"/>
      <c r="CI23" s="26"/>
      <c r="CJ23" s="26">
        <v>6</v>
      </c>
      <c r="CK23" s="26"/>
      <c r="CL23" s="26"/>
      <c r="CM23" s="26"/>
      <c r="CN23" s="26"/>
      <c r="CO23" s="26"/>
      <c r="CP23" s="26"/>
      <c r="CQ23" s="26">
        <v>1</v>
      </c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>
        <v>90</v>
      </c>
    </row>
    <row r="24" spans="1:117" x14ac:dyDescent="0.3">
      <c r="A24" s="25" t="s">
        <v>166</v>
      </c>
      <c r="B24" s="26"/>
      <c r="C24" s="26"/>
      <c r="D24" s="26">
        <v>4</v>
      </c>
      <c r="E24" s="26"/>
      <c r="F24" s="26"/>
      <c r="G24" s="26">
        <v>1</v>
      </c>
      <c r="H24" s="26">
        <v>1</v>
      </c>
      <c r="I24" s="26">
        <v>210</v>
      </c>
      <c r="J24" s="26">
        <v>1</v>
      </c>
      <c r="K24" s="26"/>
      <c r="L24" s="26"/>
      <c r="M24" s="26"/>
      <c r="N24" s="26">
        <v>37</v>
      </c>
      <c r="O24" s="26">
        <v>2</v>
      </c>
      <c r="P24" s="26"/>
      <c r="Q24" s="26">
        <v>2</v>
      </c>
      <c r="R24" s="26"/>
      <c r="S24" s="26"/>
      <c r="T24" s="26"/>
      <c r="U24" s="26"/>
      <c r="V24" s="26">
        <v>1</v>
      </c>
      <c r="W24" s="26">
        <v>2</v>
      </c>
      <c r="X24" s="26"/>
      <c r="Y24" s="26"/>
      <c r="Z24" s="26">
        <v>1</v>
      </c>
      <c r="AA24" s="26">
        <v>59</v>
      </c>
      <c r="AB24" s="26"/>
      <c r="AC24" s="26">
        <v>1</v>
      </c>
      <c r="AD24" s="26">
        <v>56</v>
      </c>
      <c r="AE24" s="26"/>
      <c r="AF24" s="26"/>
      <c r="AG24" s="26"/>
      <c r="AH24" s="26"/>
      <c r="AI24" s="26">
        <v>2</v>
      </c>
      <c r="AJ24" s="26"/>
      <c r="AK24" s="26">
        <v>5</v>
      </c>
      <c r="AL24" s="26">
        <v>1</v>
      </c>
      <c r="AM24" s="26">
        <v>2</v>
      </c>
      <c r="AN24" s="26"/>
      <c r="AO24" s="26"/>
      <c r="AP24" s="26">
        <v>1</v>
      </c>
      <c r="AQ24" s="26">
        <v>1</v>
      </c>
      <c r="AR24" s="26">
        <v>74</v>
      </c>
      <c r="AS24" s="26">
        <v>12</v>
      </c>
      <c r="AT24" s="26"/>
      <c r="AU24" s="26">
        <v>1</v>
      </c>
      <c r="AV24" s="26">
        <v>2</v>
      </c>
      <c r="AW24" s="26">
        <v>86</v>
      </c>
      <c r="AX24" s="26">
        <v>2</v>
      </c>
      <c r="AY24" s="26"/>
      <c r="AZ24" s="26">
        <v>1</v>
      </c>
      <c r="BA24" s="26">
        <v>1</v>
      </c>
      <c r="BB24" s="26">
        <v>2</v>
      </c>
      <c r="BC24" s="26"/>
      <c r="BD24" s="26">
        <v>1</v>
      </c>
      <c r="BE24" s="26"/>
      <c r="BF24" s="26"/>
      <c r="BG24" s="26">
        <v>3</v>
      </c>
      <c r="BH24" s="26">
        <v>1</v>
      </c>
      <c r="BI24" s="26"/>
      <c r="BJ24" s="26"/>
      <c r="BK24" s="26"/>
      <c r="BL24" s="26"/>
      <c r="BM24" s="26">
        <v>1</v>
      </c>
      <c r="BN24" s="26">
        <v>1</v>
      </c>
      <c r="BO24" s="26">
        <v>3</v>
      </c>
      <c r="BP24" s="26">
        <v>50</v>
      </c>
      <c r="BQ24" s="26"/>
      <c r="BR24" s="26"/>
      <c r="BS24" s="26">
        <v>2</v>
      </c>
      <c r="BT24" s="26"/>
      <c r="BU24" s="26">
        <v>2</v>
      </c>
      <c r="BV24" s="26">
        <v>2</v>
      </c>
      <c r="BW24" s="26"/>
      <c r="BX24" s="26"/>
      <c r="BY24" s="26">
        <v>73</v>
      </c>
      <c r="BZ24" s="26"/>
      <c r="CA24" s="26">
        <v>1</v>
      </c>
      <c r="CB24" s="26">
        <v>1</v>
      </c>
      <c r="CC24" s="26"/>
      <c r="CD24" s="26">
        <v>1</v>
      </c>
      <c r="CE24" s="26"/>
      <c r="CF24" s="26">
        <v>4</v>
      </c>
      <c r="CG24" s="26">
        <v>51</v>
      </c>
      <c r="CH24" s="26"/>
      <c r="CI24" s="26"/>
      <c r="CJ24" s="26">
        <v>85</v>
      </c>
      <c r="CK24" s="26"/>
      <c r="CL24" s="26"/>
      <c r="CM24" s="26">
        <v>6</v>
      </c>
      <c r="CN24" s="26">
        <v>1</v>
      </c>
      <c r="CO24" s="26">
        <v>8</v>
      </c>
      <c r="CP24" s="26"/>
      <c r="CQ24" s="26">
        <v>10</v>
      </c>
      <c r="CR24" s="26"/>
      <c r="CS24" s="26">
        <v>1</v>
      </c>
      <c r="CT24" s="26">
        <v>1</v>
      </c>
      <c r="CU24" s="26"/>
      <c r="CV24" s="26"/>
      <c r="CW24" s="26"/>
      <c r="CX24" s="26">
        <v>3</v>
      </c>
      <c r="CY24" s="26">
        <v>1</v>
      </c>
      <c r="CZ24" s="26"/>
      <c r="DA24" s="26"/>
      <c r="DB24" s="26"/>
      <c r="DC24" s="26"/>
      <c r="DD24" s="26">
        <v>2</v>
      </c>
      <c r="DE24" s="26"/>
      <c r="DF24" s="26"/>
      <c r="DG24" s="26"/>
      <c r="DH24" s="26"/>
      <c r="DI24" s="26">
        <v>1</v>
      </c>
      <c r="DJ24" s="26"/>
      <c r="DK24" s="26">
        <v>2</v>
      </c>
      <c r="DL24" s="26">
        <v>2</v>
      </c>
      <c r="DM24" s="26">
        <v>891</v>
      </c>
    </row>
    <row r="25" spans="1:117" x14ac:dyDescent="0.3">
      <c r="A25" s="25" t="s">
        <v>287</v>
      </c>
      <c r="B25" s="26"/>
      <c r="C25" s="26"/>
      <c r="D25" s="26">
        <v>3</v>
      </c>
      <c r="E25" s="26"/>
      <c r="F25" s="26"/>
      <c r="G25" s="26"/>
      <c r="H25" s="26"/>
      <c r="I25" s="26">
        <v>38</v>
      </c>
      <c r="J25" s="26"/>
      <c r="K25" s="26"/>
      <c r="L25" s="26"/>
      <c r="M25" s="26"/>
      <c r="N25" s="26">
        <v>10</v>
      </c>
      <c r="O25" s="26"/>
      <c r="P25" s="26"/>
      <c r="Q25" s="26"/>
      <c r="R25" s="26"/>
      <c r="S25" s="26"/>
      <c r="T25" s="26"/>
      <c r="U25" s="26">
        <v>1</v>
      </c>
      <c r="V25" s="26"/>
      <c r="W25" s="26">
        <v>2</v>
      </c>
      <c r="X25" s="26"/>
      <c r="Y25" s="26">
        <v>1</v>
      </c>
      <c r="Z25" s="26"/>
      <c r="AA25" s="26">
        <v>13</v>
      </c>
      <c r="AB25" s="26">
        <v>1</v>
      </c>
      <c r="AC25" s="26"/>
      <c r="AD25" s="26">
        <v>2</v>
      </c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>
        <v>1</v>
      </c>
      <c r="AP25" s="26"/>
      <c r="AQ25" s="26"/>
      <c r="AR25" s="26">
        <v>7</v>
      </c>
      <c r="AS25" s="26"/>
      <c r="AT25" s="26"/>
      <c r="AU25" s="26"/>
      <c r="AV25" s="26"/>
      <c r="AW25" s="26">
        <v>22</v>
      </c>
      <c r="AX25" s="26"/>
      <c r="AY25" s="26">
        <v>1</v>
      </c>
      <c r="AZ25" s="26"/>
      <c r="BA25" s="26"/>
      <c r="BB25" s="26"/>
      <c r="BC25" s="26">
        <v>1</v>
      </c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>
        <v>8</v>
      </c>
      <c r="BQ25" s="26"/>
      <c r="BR25" s="26"/>
      <c r="BS25" s="26"/>
      <c r="BT25" s="26"/>
      <c r="BU25" s="26"/>
      <c r="BV25" s="26"/>
      <c r="BW25" s="26"/>
      <c r="BX25" s="26"/>
      <c r="BY25" s="26">
        <v>20</v>
      </c>
      <c r="BZ25" s="26"/>
      <c r="CA25" s="26"/>
      <c r="CB25" s="26"/>
      <c r="CC25" s="26"/>
      <c r="CD25" s="26"/>
      <c r="CE25" s="26">
        <v>1</v>
      </c>
      <c r="CF25" s="26">
        <v>2</v>
      </c>
      <c r="CG25" s="26">
        <v>12</v>
      </c>
      <c r="CH25" s="26">
        <v>1</v>
      </c>
      <c r="CI25" s="26"/>
      <c r="CJ25" s="26">
        <v>11</v>
      </c>
      <c r="CK25" s="26"/>
      <c r="CL25" s="26"/>
      <c r="CM25" s="26">
        <v>1</v>
      </c>
      <c r="CN25" s="26"/>
      <c r="CO25" s="26">
        <v>1</v>
      </c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>
        <v>1</v>
      </c>
      <c r="DF25" s="26"/>
      <c r="DG25" s="26"/>
      <c r="DH25" s="26"/>
      <c r="DI25" s="26"/>
      <c r="DJ25" s="26"/>
      <c r="DK25" s="26"/>
      <c r="DL25" s="26"/>
      <c r="DM25" s="26">
        <v>161</v>
      </c>
    </row>
    <row r="26" spans="1:117" x14ac:dyDescent="0.3">
      <c r="A26" s="25" t="s">
        <v>172</v>
      </c>
      <c r="B26" s="26"/>
      <c r="C26" s="26"/>
      <c r="D26" s="26">
        <v>4</v>
      </c>
      <c r="E26" s="26"/>
      <c r="F26" s="26"/>
      <c r="G26" s="26"/>
      <c r="H26" s="26"/>
      <c r="I26" s="26">
        <v>67</v>
      </c>
      <c r="J26" s="26"/>
      <c r="K26" s="26"/>
      <c r="L26" s="26"/>
      <c r="M26" s="26"/>
      <c r="N26" s="26">
        <v>3</v>
      </c>
      <c r="O26" s="26">
        <v>1</v>
      </c>
      <c r="P26" s="26"/>
      <c r="Q26" s="26"/>
      <c r="R26" s="26"/>
      <c r="S26" s="26"/>
      <c r="T26" s="26"/>
      <c r="U26" s="26"/>
      <c r="V26" s="26"/>
      <c r="W26" s="26"/>
      <c r="X26" s="26">
        <v>1</v>
      </c>
      <c r="Y26" s="26">
        <v>1</v>
      </c>
      <c r="Z26" s="26"/>
      <c r="AA26" s="26">
        <v>30</v>
      </c>
      <c r="AB26" s="26"/>
      <c r="AC26" s="26"/>
      <c r="AD26" s="26">
        <v>20</v>
      </c>
      <c r="AE26" s="26"/>
      <c r="AF26" s="26">
        <v>1</v>
      </c>
      <c r="AG26" s="26">
        <v>1</v>
      </c>
      <c r="AH26" s="26"/>
      <c r="AI26" s="26"/>
      <c r="AJ26" s="26">
        <v>1</v>
      </c>
      <c r="AK26" s="26"/>
      <c r="AL26" s="26">
        <v>1</v>
      </c>
      <c r="AM26" s="26"/>
      <c r="AN26" s="26"/>
      <c r="AO26" s="26"/>
      <c r="AP26" s="26"/>
      <c r="AQ26" s="26"/>
      <c r="AR26" s="26">
        <v>14</v>
      </c>
      <c r="AS26" s="26">
        <v>1</v>
      </c>
      <c r="AT26" s="26"/>
      <c r="AU26" s="26"/>
      <c r="AV26" s="26"/>
      <c r="AW26" s="26">
        <v>35</v>
      </c>
      <c r="AX26" s="26"/>
      <c r="AY26" s="26"/>
      <c r="AZ26" s="26"/>
      <c r="BA26" s="26"/>
      <c r="BB26" s="26"/>
      <c r="BC26" s="26"/>
      <c r="BD26" s="26">
        <v>1</v>
      </c>
      <c r="BE26" s="26"/>
      <c r="BF26" s="26"/>
      <c r="BG26" s="26">
        <v>1</v>
      </c>
      <c r="BH26" s="26"/>
      <c r="BI26" s="26"/>
      <c r="BJ26" s="26">
        <v>1</v>
      </c>
      <c r="BK26" s="26"/>
      <c r="BL26" s="26"/>
      <c r="BM26" s="26"/>
      <c r="BN26" s="26"/>
      <c r="BO26" s="26"/>
      <c r="BP26" s="26">
        <v>24</v>
      </c>
      <c r="BQ26" s="26">
        <v>1</v>
      </c>
      <c r="BR26" s="26">
        <v>1</v>
      </c>
      <c r="BS26" s="26"/>
      <c r="BT26" s="26"/>
      <c r="BU26" s="26"/>
      <c r="BV26" s="26"/>
      <c r="BW26" s="26">
        <v>1</v>
      </c>
      <c r="BX26" s="26">
        <v>1</v>
      </c>
      <c r="BY26" s="26">
        <v>28</v>
      </c>
      <c r="BZ26" s="26"/>
      <c r="CA26" s="26"/>
      <c r="CB26" s="26"/>
      <c r="CC26" s="26"/>
      <c r="CD26" s="26"/>
      <c r="CE26" s="26"/>
      <c r="CF26" s="26">
        <v>2</v>
      </c>
      <c r="CG26" s="26">
        <v>36</v>
      </c>
      <c r="CH26" s="26"/>
      <c r="CI26" s="26"/>
      <c r="CJ26" s="26">
        <v>26</v>
      </c>
      <c r="CK26" s="26"/>
      <c r="CL26" s="26"/>
      <c r="CM26" s="26"/>
      <c r="CN26" s="26"/>
      <c r="CO26" s="26"/>
      <c r="CP26" s="26"/>
      <c r="CQ26" s="26">
        <v>1</v>
      </c>
      <c r="CR26" s="26"/>
      <c r="CS26" s="26"/>
      <c r="CT26" s="26">
        <v>1</v>
      </c>
      <c r="CU26" s="26"/>
      <c r="CV26" s="26">
        <v>1</v>
      </c>
      <c r="CW26" s="26"/>
      <c r="CX26" s="26"/>
      <c r="CY26" s="26">
        <v>1</v>
      </c>
      <c r="CZ26" s="26"/>
      <c r="DA26" s="26"/>
      <c r="DB26" s="26"/>
      <c r="DC26" s="26"/>
      <c r="DD26" s="26"/>
      <c r="DE26" s="26"/>
      <c r="DF26" s="26"/>
      <c r="DG26" s="26"/>
      <c r="DH26" s="26"/>
      <c r="DI26" s="26">
        <v>1</v>
      </c>
      <c r="DJ26" s="26"/>
      <c r="DK26" s="26"/>
      <c r="DL26" s="26"/>
      <c r="DM26" s="26">
        <v>309</v>
      </c>
    </row>
    <row r="27" spans="1:117" x14ac:dyDescent="0.3">
      <c r="A27" s="25" t="s">
        <v>294</v>
      </c>
      <c r="B27" s="26"/>
      <c r="C27" s="26"/>
      <c r="D27" s="26"/>
      <c r="E27" s="26"/>
      <c r="F27" s="26"/>
      <c r="G27" s="26"/>
      <c r="H27" s="26"/>
      <c r="I27" s="26">
        <v>12</v>
      </c>
      <c r="J27" s="26"/>
      <c r="K27" s="26"/>
      <c r="L27" s="26"/>
      <c r="M27" s="26"/>
      <c r="N27" s="26">
        <v>22</v>
      </c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>
        <v>5</v>
      </c>
      <c r="AB27" s="26"/>
      <c r="AC27" s="26"/>
      <c r="AD27" s="26">
        <v>1</v>
      </c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>
        <v>2</v>
      </c>
      <c r="AS27" s="26"/>
      <c r="AT27" s="26"/>
      <c r="AU27" s="26"/>
      <c r="AV27" s="26"/>
      <c r="AW27" s="26">
        <v>6</v>
      </c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>
        <v>1</v>
      </c>
      <c r="BQ27" s="26"/>
      <c r="BR27" s="26"/>
      <c r="BS27" s="26"/>
      <c r="BT27" s="26"/>
      <c r="BU27" s="26"/>
      <c r="BV27" s="26"/>
      <c r="BW27" s="26"/>
      <c r="BX27" s="26"/>
      <c r="BY27" s="26">
        <v>5</v>
      </c>
      <c r="BZ27" s="26"/>
      <c r="CA27" s="26"/>
      <c r="CB27" s="26"/>
      <c r="CC27" s="26"/>
      <c r="CD27" s="26"/>
      <c r="CE27" s="26"/>
      <c r="CF27" s="26"/>
      <c r="CG27" s="26">
        <v>1</v>
      </c>
      <c r="CH27" s="26"/>
      <c r="CI27" s="26"/>
      <c r="CJ27" s="26">
        <v>6</v>
      </c>
      <c r="CK27" s="26"/>
      <c r="CL27" s="26"/>
      <c r="CM27" s="26"/>
      <c r="CN27" s="26"/>
      <c r="CO27" s="26">
        <v>2</v>
      </c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>
        <v>1</v>
      </c>
      <c r="DL27" s="26"/>
      <c r="DM27" s="26">
        <v>64</v>
      </c>
    </row>
    <row r="28" spans="1:117" x14ac:dyDescent="0.3">
      <c r="A28" s="25" t="s">
        <v>295</v>
      </c>
      <c r="B28" s="26"/>
      <c r="C28" s="26"/>
      <c r="D28" s="26"/>
      <c r="E28" s="26"/>
      <c r="F28" s="26"/>
      <c r="G28" s="26"/>
      <c r="H28" s="26"/>
      <c r="I28" s="26">
        <v>31</v>
      </c>
      <c r="J28" s="26"/>
      <c r="K28" s="26"/>
      <c r="L28" s="26"/>
      <c r="M28" s="26"/>
      <c r="N28" s="26">
        <v>6</v>
      </c>
      <c r="O28" s="26"/>
      <c r="P28" s="26"/>
      <c r="Q28" s="26"/>
      <c r="R28" s="26"/>
      <c r="S28" s="26"/>
      <c r="T28" s="26"/>
      <c r="U28" s="26"/>
      <c r="V28" s="26"/>
      <c r="W28" s="26">
        <v>2</v>
      </c>
      <c r="X28" s="26"/>
      <c r="Y28" s="26"/>
      <c r="Z28" s="26"/>
      <c r="AA28" s="26">
        <v>8</v>
      </c>
      <c r="AB28" s="26"/>
      <c r="AC28" s="26">
        <v>1</v>
      </c>
      <c r="AD28" s="26">
        <v>2</v>
      </c>
      <c r="AE28" s="26"/>
      <c r="AF28" s="26"/>
      <c r="AG28" s="26"/>
      <c r="AH28" s="26"/>
      <c r="AI28" s="26"/>
      <c r="AJ28" s="26"/>
      <c r="AK28" s="26">
        <v>2</v>
      </c>
      <c r="AL28" s="26"/>
      <c r="AM28" s="26"/>
      <c r="AN28" s="26"/>
      <c r="AO28" s="26"/>
      <c r="AP28" s="26">
        <v>1</v>
      </c>
      <c r="AQ28" s="26"/>
      <c r="AR28" s="26">
        <v>4</v>
      </c>
      <c r="AS28" s="26"/>
      <c r="AT28" s="26"/>
      <c r="AU28" s="26">
        <v>1</v>
      </c>
      <c r="AV28" s="26">
        <v>1</v>
      </c>
      <c r="AW28" s="26">
        <v>14</v>
      </c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>
        <v>2</v>
      </c>
      <c r="BQ28" s="26"/>
      <c r="BR28" s="26"/>
      <c r="BS28" s="26"/>
      <c r="BT28" s="26"/>
      <c r="BU28" s="26"/>
      <c r="BV28" s="26"/>
      <c r="BW28" s="26"/>
      <c r="BX28" s="26"/>
      <c r="BY28" s="26">
        <v>5</v>
      </c>
      <c r="BZ28" s="26"/>
      <c r="CA28" s="26"/>
      <c r="CB28" s="26"/>
      <c r="CC28" s="26"/>
      <c r="CD28" s="26"/>
      <c r="CE28" s="26"/>
      <c r="CF28" s="26"/>
      <c r="CG28" s="26">
        <v>7</v>
      </c>
      <c r="CH28" s="26"/>
      <c r="CI28" s="26"/>
      <c r="CJ28" s="26">
        <v>12</v>
      </c>
      <c r="CK28" s="26"/>
      <c r="CL28" s="26"/>
      <c r="CM28" s="26"/>
      <c r="CN28" s="26"/>
      <c r="CO28" s="26">
        <v>4</v>
      </c>
      <c r="CP28" s="26"/>
      <c r="CQ28" s="26">
        <v>2</v>
      </c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>
        <v>1</v>
      </c>
      <c r="DM28" s="26">
        <v>106</v>
      </c>
    </row>
    <row r="29" spans="1:117" x14ac:dyDescent="0.3">
      <c r="A29" s="25" t="s">
        <v>296</v>
      </c>
      <c r="B29" s="26"/>
      <c r="C29" s="26"/>
      <c r="D29" s="26"/>
      <c r="E29" s="26"/>
      <c r="F29" s="26"/>
      <c r="G29" s="26"/>
      <c r="H29" s="26"/>
      <c r="I29" s="26">
        <v>38</v>
      </c>
      <c r="J29" s="26"/>
      <c r="K29" s="26"/>
      <c r="L29" s="26"/>
      <c r="M29" s="26"/>
      <c r="N29" s="26">
        <v>59</v>
      </c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>
        <v>9</v>
      </c>
      <c r="AB29" s="26"/>
      <c r="AC29" s="26"/>
      <c r="AD29" s="26">
        <v>9</v>
      </c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>
        <v>1</v>
      </c>
      <c r="AP29" s="26"/>
      <c r="AQ29" s="26"/>
      <c r="AR29" s="26">
        <v>10</v>
      </c>
      <c r="AS29" s="26">
        <v>3</v>
      </c>
      <c r="AT29" s="26"/>
      <c r="AU29" s="26"/>
      <c r="AV29" s="26">
        <v>1</v>
      </c>
      <c r="AW29" s="26">
        <v>12</v>
      </c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>
        <v>6</v>
      </c>
      <c r="BQ29" s="26"/>
      <c r="BR29" s="26">
        <v>1</v>
      </c>
      <c r="BS29" s="26"/>
      <c r="BT29" s="26"/>
      <c r="BU29" s="26"/>
      <c r="BV29" s="26"/>
      <c r="BW29" s="26"/>
      <c r="BX29" s="26"/>
      <c r="BY29" s="26">
        <v>14</v>
      </c>
      <c r="BZ29" s="26"/>
      <c r="CA29" s="26"/>
      <c r="CB29" s="26"/>
      <c r="CC29" s="26"/>
      <c r="CD29" s="26"/>
      <c r="CE29" s="26"/>
      <c r="CF29" s="26"/>
      <c r="CG29" s="26">
        <v>2</v>
      </c>
      <c r="CH29" s="26"/>
      <c r="CI29" s="26"/>
      <c r="CJ29" s="26">
        <v>11</v>
      </c>
      <c r="CK29" s="26"/>
      <c r="CL29" s="26"/>
      <c r="CM29" s="26"/>
      <c r="CN29" s="26"/>
      <c r="CO29" s="26">
        <v>6</v>
      </c>
      <c r="CP29" s="26"/>
      <c r="CQ29" s="26">
        <v>2</v>
      </c>
      <c r="CR29" s="26"/>
      <c r="CS29" s="26"/>
      <c r="CT29" s="26"/>
      <c r="CU29" s="26"/>
      <c r="CV29" s="26"/>
      <c r="CW29" s="26">
        <v>1</v>
      </c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>
        <v>1</v>
      </c>
      <c r="DL29" s="26"/>
      <c r="DM29" s="26">
        <v>186</v>
      </c>
    </row>
    <row r="30" spans="1:117" x14ac:dyDescent="0.3">
      <c r="A30" s="25" t="s">
        <v>177</v>
      </c>
      <c r="B30" s="26"/>
      <c r="C30" s="26"/>
      <c r="D30" s="26">
        <v>1</v>
      </c>
      <c r="E30" s="26"/>
      <c r="F30" s="26"/>
      <c r="G30" s="26"/>
      <c r="H30" s="26"/>
      <c r="I30" s="26">
        <v>42</v>
      </c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>
        <v>1</v>
      </c>
      <c r="Y30" s="26"/>
      <c r="Z30" s="26"/>
      <c r="AA30" s="26">
        <v>28</v>
      </c>
      <c r="AB30" s="26"/>
      <c r="AC30" s="26"/>
      <c r="AD30" s="26">
        <v>15</v>
      </c>
      <c r="AE30" s="26"/>
      <c r="AF30" s="26"/>
      <c r="AG30" s="26"/>
      <c r="AH30" s="26"/>
      <c r="AI30" s="26"/>
      <c r="AJ30" s="26">
        <v>1</v>
      </c>
      <c r="AK30" s="26"/>
      <c r="AL30" s="26"/>
      <c r="AM30" s="26">
        <v>1</v>
      </c>
      <c r="AN30" s="26"/>
      <c r="AO30" s="26"/>
      <c r="AP30" s="26"/>
      <c r="AQ30" s="26"/>
      <c r="AR30" s="26">
        <v>21</v>
      </c>
      <c r="AS30" s="26"/>
      <c r="AT30" s="26"/>
      <c r="AU30" s="26"/>
      <c r="AV30" s="26"/>
      <c r="AW30" s="26">
        <v>25</v>
      </c>
      <c r="AX30" s="26"/>
      <c r="AY30" s="26"/>
      <c r="AZ30" s="26"/>
      <c r="BA30" s="26"/>
      <c r="BB30" s="26"/>
      <c r="BC30" s="26"/>
      <c r="BD30" s="26">
        <v>1</v>
      </c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>
        <v>1</v>
      </c>
      <c r="BP30" s="26">
        <v>19</v>
      </c>
      <c r="BQ30" s="26"/>
      <c r="BR30" s="26"/>
      <c r="BS30" s="26"/>
      <c r="BT30" s="26"/>
      <c r="BU30" s="26"/>
      <c r="BV30" s="26"/>
      <c r="BW30" s="26"/>
      <c r="BX30" s="26"/>
      <c r="BY30" s="26">
        <v>20</v>
      </c>
      <c r="BZ30" s="26"/>
      <c r="CA30" s="26">
        <v>1</v>
      </c>
      <c r="CB30" s="26"/>
      <c r="CC30" s="26"/>
      <c r="CD30" s="26"/>
      <c r="CE30" s="26"/>
      <c r="CF30" s="26"/>
      <c r="CG30" s="26">
        <v>23</v>
      </c>
      <c r="CH30" s="26"/>
      <c r="CI30" s="26"/>
      <c r="CJ30" s="26">
        <v>22</v>
      </c>
      <c r="CK30" s="26"/>
      <c r="CL30" s="26"/>
      <c r="CM30" s="26"/>
      <c r="CN30" s="26"/>
      <c r="CO30" s="26"/>
      <c r="CP30" s="26"/>
      <c r="CQ30" s="26">
        <v>4</v>
      </c>
      <c r="CR30" s="26"/>
      <c r="CS30" s="26"/>
      <c r="CT30" s="26">
        <v>1</v>
      </c>
      <c r="CU30" s="26"/>
      <c r="CV30" s="26"/>
      <c r="CW30" s="26"/>
      <c r="CX30" s="26"/>
      <c r="CY30" s="26">
        <v>3</v>
      </c>
      <c r="CZ30" s="26"/>
      <c r="DA30" s="26"/>
      <c r="DB30" s="26"/>
      <c r="DC30" s="26"/>
      <c r="DD30" s="26">
        <v>1</v>
      </c>
      <c r="DE30" s="26"/>
      <c r="DF30" s="26"/>
      <c r="DG30" s="26"/>
      <c r="DH30" s="26"/>
      <c r="DI30" s="26"/>
      <c r="DJ30" s="26"/>
      <c r="DK30" s="26"/>
      <c r="DL30" s="26">
        <v>1</v>
      </c>
      <c r="DM30" s="26">
        <v>232</v>
      </c>
    </row>
    <row r="31" spans="1:117" x14ac:dyDescent="0.3">
      <c r="A31" s="25" t="s">
        <v>168</v>
      </c>
      <c r="B31" s="26"/>
      <c r="C31" s="26"/>
      <c r="D31" s="26">
        <v>3</v>
      </c>
      <c r="E31" s="26"/>
      <c r="F31" s="26"/>
      <c r="G31" s="26"/>
      <c r="H31" s="26">
        <v>1</v>
      </c>
      <c r="I31" s="26">
        <v>125</v>
      </c>
      <c r="J31" s="26">
        <v>1</v>
      </c>
      <c r="K31" s="26"/>
      <c r="L31" s="26">
        <v>1</v>
      </c>
      <c r="M31" s="26">
        <v>1</v>
      </c>
      <c r="N31" s="26">
        <v>42</v>
      </c>
      <c r="O31" s="26">
        <v>2</v>
      </c>
      <c r="P31" s="26"/>
      <c r="Q31" s="26">
        <v>1</v>
      </c>
      <c r="R31" s="26"/>
      <c r="S31" s="26">
        <v>1</v>
      </c>
      <c r="T31" s="26"/>
      <c r="U31" s="26"/>
      <c r="V31" s="26"/>
      <c r="W31" s="26">
        <v>2</v>
      </c>
      <c r="X31" s="26"/>
      <c r="Y31" s="26"/>
      <c r="Z31" s="26"/>
      <c r="AA31" s="26">
        <v>54</v>
      </c>
      <c r="AB31" s="26"/>
      <c r="AC31" s="26"/>
      <c r="AD31" s="26">
        <v>25</v>
      </c>
      <c r="AE31" s="26"/>
      <c r="AF31" s="26"/>
      <c r="AG31" s="26"/>
      <c r="AH31" s="26"/>
      <c r="AI31" s="26"/>
      <c r="AJ31" s="26">
        <v>1</v>
      </c>
      <c r="AK31" s="26">
        <v>1</v>
      </c>
      <c r="AL31" s="26"/>
      <c r="AM31" s="26"/>
      <c r="AN31" s="26"/>
      <c r="AO31" s="26"/>
      <c r="AP31" s="26">
        <v>1</v>
      </c>
      <c r="AQ31" s="26"/>
      <c r="AR31" s="26">
        <v>49</v>
      </c>
      <c r="AS31" s="26">
        <v>3</v>
      </c>
      <c r="AT31" s="26"/>
      <c r="AU31" s="26">
        <v>1</v>
      </c>
      <c r="AV31" s="26">
        <v>1</v>
      </c>
      <c r="AW31" s="26">
        <v>70</v>
      </c>
      <c r="AX31" s="26"/>
      <c r="AY31" s="26">
        <v>2</v>
      </c>
      <c r="AZ31" s="26">
        <v>1</v>
      </c>
      <c r="BA31" s="26">
        <v>1</v>
      </c>
      <c r="BB31" s="26">
        <v>1</v>
      </c>
      <c r="BC31" s="26"/>
      <c r="BD31" s="26"/>
      <c r="BE31" s="26">
        <v>2</v>
      </c>
      <c r="BF31" s="26"/>
      <c r="BG31" s="26">
        <v>1</v>
      </c>
      <c r="BH31" s="26"/>
      <c r="BI31" s="26"/>
      <c r="BJ31" s="26"/>
      <c r="BK31" s="26"/>
      <c r="BL31" s="26"/>
      <c r="BM31" s="26"/>
      <c r="BN31" s="26"/>
      <c r="BO31" s="26">
        <v>2</v>
      </c>
      <c r="BP31" s="26">
        <v>20</v>
      </c>
      <c r="BQ31" s="26"/>
      <c r="BR31" s="26"/>
      <c r="BS31" s="26"/>
      <c r="BT31" s="26"/>
      <c r="BU31" s="26">
        <v>2</v>
      </c>
      <c r="BV31" s="26"/>
      <c r="BW31" s="26"/>
      <c r="BX31" s="26"/>
      <c r="BY31" s="26">
        <v>52</v>
      </c>
      <c r="BZ31" s="26"/>
      <c r="CA31" s="26">
        <v>1</v>
      </c>
      <c r="CB31" s="26"/>
      <c r="CC31" s="26"/>
      <c r="CD31" s="26"/>
      <c r="CE31" s="26"/>
      <c r="CF31" s="26"/>
      <c r="CG31" s="26">
        <v>28</v>
      </c>
      <c r="CH31" s="26"/>
      <c r="CI31" s="26"/>
      <c r="CJ31" s="26">
        <v>51</v>
      </c>
      <c r="CK31" s="26"/>
      <c r="CL31" s="26"/>
      <c r="CM31" s="26">
        <v>1</v>
      </c>
      <c r="CN31" s="26">
        <v>1</v>
      </c>
      <c r="CO31" s="26">
        <v>5</v>
      </c>
      <c r="CP31" s="26"/>
      <c r="CQ31" s="26">
        <v>6</v>
      </c>
      <c r="CR31" s="26"/>
      <c r="CS31" s="26"/>
      <c r="CT31" s="26">
        <v>2</v>
      </c>
      <c r="CU31" s="26"/>
      <c r="CV31" s="26"/>
      <c r="CW31" s="26"/>
      <c r="CX31" s="26">
        <v>1</v>
      </c>
      <c r="CY31" s="26">
        <v>1</v>
      </c>
      <c r="CZ31" s="26"/>
      <c r="DA31" s="26"/>
      <c r="DB31" s="26">
        <v>1</v>
      </c>
      <c r="DC31" s="26"/>
      <c r="DD31" s="26">
        <v>3</v>
      </c>
      <c r="DE31" s="26"/>
      <c r="DF31" s="26"/>
      <c r="DG31" s="26"/>
      <c r="DH31" s="26"/>
      <c r="DI31" s="26"/>
      <c r="DJ31" s="26"/>
      <c r="DK31" s="26">
        <v>1</v>
      </c>
      <c r="DL31" s="26">
        <v>3</v>
      </c>
      <c r="DM31" s="26">
        <v>575</v>
      </c>
    </row>
    <row r="32" spans="1:117" x14ac:dyDescent="0.3">
      <c r="A32" s="25" t="s">
        <v>300</v>
      </c>
      <c r="B32" s="26"/>
      <c r="C32" s="26"/>
      <c r="D32" s="26">
        <v>1</v>
      </c>
      <c r="E32" s="26"/>
      <c r="F32" s="26"/>
      <c r="G32" s="26"/>
      <c r="H32" s="26"/>
      <c r="I32" s="26">
        <v>21</v>
      </c>
      <c r="J32" s="26"/>
      <c r="K32" s="26"/>
      <c r="L32" s="26"/>
      <c r="M32" s="26"/>
      <c r="N32" s="26">
        <v>6</v>
      </c>
      <c r="O32" s="26">
        <v>1</v>
      </c>
      <c r="P32" s="26"/>
      <c r="Q32" s="26"/>
      <c r="R32" s="26"/>
      <c r="S32" s="26"/>
      <c r="T32" s="26"/>
      <c r="U32" s="26"/>
      <c r="V32" s="26"/>
      <c r="W32" s="26"/>
      <c r="X32" s="26">
        <v>1</v>
      </c>
      <c r="Y32" s="26"/>
      <c r="Z32" s="26"/>
      <c r="AA32" s="26">
        <v>4</v>
      </c>
      <c r="AB32" s="26"/>
      <c r="AC32" s="26"/>
      <c r="AD32" s="26">
        <v>4</v>
      </c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>
        <v>11</v>
      </c>
      <c r="AS32" s="26">
        <v>1</v>
      </c>
      <c r="AT32" s="26"/>
      <c r="AU32" s="26"/>
      <c r="AV32" s="26"/>
      <c r="AW32" s="26">
        <v>9</v>
      </c>
      <c r="AX32" s="26"/>
      <c r="AY32" s="26"/>
      <c r="AZ32" s="26"/>
      <c r="BA32" s="26">
        <v>1</v>
      </c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>
        <v>1</v>
      </c>
      <c r="BM32" s="26"/>
      <c r="BN32" s="26"/>
      <c r="BO32" s="26"/>
      <c r="BP32" s="26"/>
      <c r="BQ32" s="26"/>
      <c r="BR32" s="26"/>
      <c r="BS32" s="26"/>
      <c r="BT32" s="26"/>
      <c r="BU32" s="26">
        <v>2</v>
      </c>
      <c r="BV32" s="26"/>
      <c r="BW32" s="26"/>
      <c r="BX32" s="26"/>
      <c r="BY32" s="26">
        <v>11</v>
      </c>
      <c r="BZ32" s="26"/>
      <c r="CA32" s="26"/>
      <c r="CB32" s="26"/>
      <c r="CC32" s="26"/>
      <c r="CD32" s="26"/>
      <c r="CE32" s="26"/>
      <c r="CF32" s="26"/>
      <c r="CG32" s="26">
        <v>5</v>
      </c>
      <c r="CH32" s="26"/>
      <c r="CI32" s="26"/>
      <c r="CJ32" s="26">
        <v>6</v>
      </c>
      <c r="CK32" s="26"/>
      <c r="CL32" s="26"/>
      <c r="CM32" s="26"/>
      <c r="CN32" s="26"/>
      <c r="CO32" s="26">
        <v>2</v>
      </c>
      <c r="CP32" s="26"/>
      <c r="CQ32" s="26">
        <v>1</v>
      </c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>
        <v>88</v>
      </c>
    </row>
    <row r="33" spans="1:117" x14ac:dyDescent="0.3">
      <c r="A33" s="25" t="s">
        <v>301</v>
      </c>
      <c r="B33" s="26"/>
      <c r="C33" s="26"/>
      <c r="D33" s="26"/>
      <c r="E33" s="26">
        <v>1</v>
      </c>
      <c r="F33" s="26"/>
      <c r="G33" s="26"/>
      <c r="H33" s="26"/>
      <c r="I33" s="26">
        <v>24</v>
      </c>
      <c r="J33" s="26"/>
      <c r="K33" s="26">
        <v>1</v>
      </c>
      <c r="L33" s="26"/>
      <c r="M33" s="26"/>
      <c r="N33" s="26">
        <v>7</v>
      </c>
      <c r="O33" s="26"/>
      <c r="P33" s="26"/>
      <c r="Q33" s="26"/>
      <c r="R33" s="26"/>
      <c r="S33" s="26"/>
      <c r="T33" s="26"/>
      <c r="U33" s="26"/>
      <c r="V33" s="26"/>
      <c r="W33" s="26">
        <v>1</v>
      </c>
      <c r="X33" s="26"/>
      <c r="Y33" s="26"/>
      <c r="Z33" s="26"/>
      <c r="AA33" s="26">
        <v>15</v>
      </c>
      <c r="AB33" s="26"/>
      <c r="AC33" s="26"/>
      <c r="AD33" s="26">
        <v>5</v>
      </c>
      <c r="AE33" s="26"/>
      <c r="AF33" s="26"/>
      <c r="AG33" s="26">
        <v>1</v>
      </c>
      <c r="AH33" s="26"/>
      <c r="AI33" s="26"/>
      <c r="AJ33" s="26"/>
      <c r="AK33" s="26">
        <v>3</v>
      </c>
      <c r="AL33" s="26"/>
      <c r="AM33" s="26"/>
      <c r="AN33" s="26"/>
      <c r="AO33" s="26"/>
      <c r="AP33" s="26"/>
      <c r="AQ33" s="26">
        <v>1</v>
      </c>
      <c r="AR33" s="26">
        <v>14</v>
      </c>
      <c r="AS33" s="26">
        <v>2</v>
      </c>
      <c r="AT33" s="26"/>
      <c r="AU33" s="26"/>
      <c r="AV33" s="26"/>
      <c r="AW33" s="26">
        <v>9</v>
      </c>
      <c r="AX33" s="26"/>
      <c r="AY33" s="26"/>
      <c r="AZ33" s="26"/>
      <c r="BA33" s="26"/>
      <c r="BB33" s="26">
        <v>1</v>
      </c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>
        <v>7</v>
      </c>
      <c r="BQ33" s="26"/>
      <c r="BR33" s="26"/>
      <c r="BS33" s="26">
        <v>2</v>
      </c>
      <c r="BT33" s="26"/>
      <c r="BU33" s="26">
        <v>1</v>
      </c>
      <c r="BV33" s="26"/>
      <c r="BW33" s="26"/>
      <c r="BX33" s="26"/>
      <c r="BY33" s="26">
        <v>4</v>
      </c>
      <c r="BZ33" s="26"/>
      <c r="CA33" s="26"/>
      <c r="CB33" s="26"/>
      <c r="CC33" s="26"/>
      <c r="CD33" s="26"/>
      <c r="CE33" s="26"/>
      <c r="CF33" s="26"/>
      <c r="CG33" s="26">
        <v>4</v>
      </c>
      <c r="CH33" s="26"/>
      <c r="CI33" s="26"/>
      <c r="CJ33" s="26">
        <v>12</v>
      </c>
      <c r="CK33" s="26"/>
      <c r="CL33" s="26"/>
      <c r="CM33" s="26">
        <v>5</v>
      </c>
      <c r="CN33" s="26">
        <v>1</v>
      </c>
      <c r="CO33" s="26">
        <v>1</v>
      </c>
      <c r="CP33" s="26"/>
      <c r="CQ33" s="26">
        <v>3</v>
      </c>
      <c r="CR33" s="26"/>
      <c r="CS33" s="26"/>
      <c r="CT33" s="26">
        <v>1</v>
      </c>
      <c r="CU33" s="26"/>
      <c r="CV33" s="26"/>
      <c r="CW33" s="26"/>
      <c r="CX33" s="26">
        <v>1</v>
      </c>
      <c r="CY33" s="26"/>
      <c r="CZ33" s="26"/>
      <c r="DA33" s="26"/>
      <c r="DB33" s="26"/>
      <c r="DC33" s="26">
        <v>1</v>
      </c>
      <c r="DD33" s="26"/>
      <c r="DE33" s="26"/>
      <c r="DF33" s="26"/>
      <c r="DG33" s="26"/>
      <c r="DH33" s="26"/>
      <c r="DI33" s="26"/>
      <c r="DJ33" s="26"/>
      <c r="DK33" s="26"/>
      <c r="DL33" s="26"/>
      <c r="DM33" s="26">
        <v>128</v>
      </c>
    </row>
    <row r="34" spans="1:117" x14ac:dyDescent="0.3">
      <c r="A34" s="25" t="s">
        <v>302</v>
      </c>
      <c r="B34" s="26"/>
      <c r="C34" s="26"/>
      <c r="D34" s="26">
        <v>1</v>
      </c>
      <c r="E34" s="26"/>
      <c r="F34" s="26"/>
      <c r="G34" s="26"/>
      <c r="H34" s="26"/>
      <c r="I34" s="26">
        <v>26</v>
      </c>
      <c r="J34" s="26"/>
      <c r="K34" s="26"/>
      <c r="L34" s="26"/>
      <c r="M34" s="26"/>
      <c r="N34" s="26">
        <v>3</v>
      </c>
      <c r="O34" s="26">
        <v>1</v>
      </c>
      <c r="P34" s="26"/>
      <c r="Q34" s="26"/>
      <c r="R34" s="26"/>
      <c r="S34" s="26"/>
      <c r="T34" s="26"/>
      <c r="U34" s="26"/>
      <c r="V34" s="26"/>
      <c r="W34" s="26"/>
      <c r="X34" s="26">
        <v>1</v>
      </c>
      <c r="Y34" s="26"/>
      <c r="Z34" s="26"/>
      <c r="AA34" s="26">
        <v>7</v>
      </c>
      <c r="AB34" s="26"/>
      <c r="AC34" s="26"/>
      <c r="AD34" s="26">
        <v>5</v>
      </c>
      <c r="AE34" s="26"/>
      <c r="AF34" s="26"/>
      <c r="AG34" s="26"/>
      <c r="AH34" s="26"/>
      <c r="AI34" s="26"/>
      <c r="AJ34" s="26"/>
      <c r="AK34" s="26"/>
      <c r="AL34" s="26">
        <v>1</v>
      </c>
      <c r="AM34" s="26"/>
      <c r="AN34" s="26"/>
      <c r="AO34" s="26"/>
      <c r="AP34" s="26"/>
      <c r="AQ34" s="26"/>
      <c r="AR34" s="26">
        <v>9</v>
      </c>
      <c r="AS34" s="26"/>
      <c r="AT34" s="26"/>
      <c r="AU34" s="26"/>
      <c r="AV34" s="26"/>
      <c r="AW34" s="26">
        <v>11</v>
      </c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>
        <v>12</v>
      </c>
      <c r="BQ34" s="26"/>
      <c r="BR34" s="26">
        <v>1</v>
      </c>
      <c r="BS34" s="26"/>
      <c r="BT34" s="26"/>
      <c r="BU34" s="26"/>
      <c r="BV34" s="26"/>
      <c r="BW34" s="26">
        <v>1</v>
      </c>
      <c r="BX34" s="26"/>
      <c r="BY34" s="26">
        <v>5</v>
      </c>
      <c r="BZ34" s="26"/>
      <c r="CA34" s="26">
        <v>1</v>
      </c>
      <c r="CB34" s="26"/>
      <c r="CC34" s="26"/>
      <c r="CD34" s="26"/>
      <c r="CE34" s="26">
        <v>1</v>
      </c>
      <c r="CF34" s="26"/>
      <c r="CG34" s="26">
        <v>6</v>
      </c>
      <c r="CH34" s="26"/>
      <c r="CI34" s="26"/>
      <c r="CJ34" s="26">
        <v>7</v>
      </c>
      <c r="CK34" s="26"/>
      <c r="CL34" s="26"/>
      <c r="CM34" s="26">
        <v>2</v>
      </c>
      <c r="CN34" s="26"/>
      <c r="CO34" s="26"/>
      <c r="CP34" s="26"/>
      <c r="CQ34" s="26">
        <v>2</v>
      </c>
      <c r="CR34" s="26"/>
      <c r="CS34" s="26"/>
      <c r="CT34" s="26"/>
      <c r="CU34" s="26"/>
      <c r="CV34" s="26"/>
      <c r="CW34" s="26"/>
      <c r="CX34" s="26"/>
      <c r="CY34" s="26">
        <v>1</v>
      </c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>
        <v>104</v>
      </c>
    </row>
    <row r="35" spans="1:117" x14ac:dyDescent="0.3">
      <c r="A35" s="25" t="s">
        <v>365</v>
      </c>
      <c r="B35" s="26">
        <v>1</v>
      </c>
      <c r="C35" s="26">
        <v>3</v>
      </c>
      <c r="D35" s="26">
        <v>46</v>
      </c>
      <c r="E35" s="26">
        <v>2</v>
      </c>
      <c r="F35" s="26">
        <v>2</v>
      </c>
      <c r="G35" s="26">
        <v>1</v>
      </c>
      <c r="H35" s="26">
        <v>5</v>
      </c>
      <c r="I35" s="26">
        <v>1720</v>
      </c>
      <c r="J35" s="26">
        <v>2</v>
      </c>
      <c r="K35" s="26">
        <v>6</v>
      </c>
      <c r="L35" s="26">
        <v>2</v>
      </c>
      <c r="M35" s="26">
        <v>1</v>
      </c>
      <c r="N35" s="26">
        <v>394</v>
      </c>
      <c r="O35" s="26">
        <v>19</v>
      </c>
      <c r="P35" s="26">
        <v>1</v>
      </c>
      <c r="Q35" s="26">
        <v>14</v>
      </c>
      <c r="R35" s="26">
        <v>2</v>
      </c>
      <c r="S35" s="26">
        <v>3</v>
      </c>
      <c r="T35" s="26">
        <v>2</v>
      </c>
      <c r="U35" s="26">
        <v>1</v>
      </c>
      <c r="V35" s="26">
        <v>1</v>
      </c>
      <c r="W35" s="26">
        <v>12</v>
      </c>
      <c r="X35" s="26">
        <v>9</v>
      </c>
      <c r="Y35" s="26">
        <v>3</v>
      </c>
      <c r="Z35" s="26">
        <v>4</v>
      </c>
      <c r="AA35" s="26">
        <v>605</v>
      </c>
      <c r="AB35" s="26">
        <v>1</v>
      </c>
      <c r="AC35" s="26">
        <v>4</v>
      </c>
      <c r="AD35" s="26">
        <v>405</v>
      </c>
      <c r="AE35" s="26">
        <v>1</v>
      </c>
      <c r="AF35" s="26">
        <v>1</v>
      </c>
      <c r="AG35" s="26">
        <v>7</v>
      </c>
      <c r="AH35" s="26">
        <v>5</v>
      </c>
      <c r="AI35" s="26">
        <v>2</v>
      </c>
      <c r="AJ35" s="26">
        <v>7</v>
      </c>
      <c r="AK35" s="26">
        <v>40</v>
      </c>
      <c r="AL35" s="26">
        <v>5</v>
      </c>
      <c r="AM35" s="26">
        <v>5</v>
      </c>
      <c r="AN35" s="26">
        <v>1</v>
      </c>
      <c r="AO35" s="26">
        <v>3</v>
      </c>
      <c r="AP35" s="26">
        <v>10</v>
      </c>
      <c r="AQ35" s="26">
        <v>8</v>
      </c>
      <c r="AR35" s="26">
        <v>565</v>
      </c>
      <c r="AS35" s="26">
        <v>169</v>
      </c>
      <c r="AT35" s="26">
        <v>1</v>
      </c>
      <c r="AU35" s="26">
        <v>6</v>
      </c>
      <c r="AV35" s="26">
        <v>8</v>
      </c>
      <c r="AW35" s="26">
        <v>744</v>
      </c>
      <c r="AX35" s="26">
        <v>3</v>
      </c>
      <c r="AY35" s="26">
        <v>4</v>
      </c>
      <c r="AZ35" s="26">
        <v>6</v>
      </c>
      <c r="BA35" s="26">
        <v>33</v>
      </c>
      <c r="BB35" s="26">
        <v>17</v>
      </c>
      <c r="BC35" s="26">
        <v>1</v>
      </c>
      <c r="BD35" s="26">
        <v>11</v>
      </c>
      <c r="BE35" s="26">
        <v>3</v>
      </c>
      <c r="BF35" s="26">
        <v>1</v>
      </c>
      <c r="BG35" s="26">
        <v>8</v>
      </c>
      <c r="BH35" s="26">
        <v>8</v>
      </c>
      <c r="BI35" s="26">
        <v>3</v>
      </c>
      <c r="BJ35" s="26">
        <v>1</v>
      </c>
      <c r="BK35" s="26">
        <v>1</v>
      </c>
      <c r="BL35" s="26">
        <v>2</v>
      </c>
      <c r="BM35" s="26">
        <v>5</v>
      </c>
      <c r="BN35" s="26">
        <v>1</v>
      </c>
      <c r="BO35" s="26">
        <v>12</v>
      </c>
      <c r="BP35" s="26">
        <v>413</v>
      </c>
      <c r="BQ35" s="26">
        <v>2</v>
      </c>
      <c r="BR35" s="26">
        <v>13</v>
      </c>
      <c r="BS35" s="26">
        <v>11</v>
      </c>
      <c r="BT35" s="26">
        <v>2</v>
      </c>
      <c r="BU35" s="26">
        <v>14</v>
      </c>
      <c r="BV35" s="26">
        <v>2</v>
      </c>
      <c r="BW35" s="26">
        <v>5</v>
      </c>
      <c r="BX35" s="26">
        <v>2</v>
      </c>
      <c r="BY35" s="26">
        <v>556</v>
      </c>
      <c r="BZ35" s="26">
        <v>1</v>
      </c>
      <c r="CA35" s="26">
        <v>7</v>
      </c>
      <c r="CB35" s="26">
        <v>3</v>
      </c>
      <c r="CC35" s="26">
        <v>2</v>
      </c>
      <c r="CD35" s="26">
        <v>4</v>
      </c>
      <c r="CE35" s="26">
        <v>4</v>
      </c>
      <c r="CF35" s="26">
        <v>13</v>
      </c>
      <c r="CG35" s="26">
        <v>472</v>
      </c>
      <c r="CH35" s="26">
        <v>1</v>
      </c>
      <c r="CI35" s="26">
        <v>2</v>
      </c>
      <c r="CJ35" s="26">
        <v>682</v>
      </c>
      <c r="CK35" s="26">
        <v>1</v>
      </c>
      <c r="CL35" s="26">
        <v>1</v>
      </c>
      <c r="CM35" s="26">
        <v>67</v>
      </c>
      <c r="CN35" s="26">
        <v>5</v>
      </c>
      <c r="CO35" s="26">
        <v>72</v>
      </c>
      <c r="CP35" s="26">
        <v>1</v>
      </c>
      <c r="CQ35" s="26">
        <v>68</v>
      </c>
      <c r="CR35" s="26">
        <v>2</v>
      </c>
      <c r="CS35" s="26">
        <v>1</v>
      </c>
      <c r="CT35" s="26">
        <v>13</v>
      </c>
      <c r="CU35" s="26">
        <v>1</v>
      </c>
      <c r="CV35" s="26">
        <v>2</v>
      </c>
      <c r="CW35" s="26">
        <v>1</v>
      </c>
      <c r="CX35" s="26">
        <v>10</v>
      </c>
      <c r="CY35" s="26">
        <v>24</v>
      </c>
      <c r="CZ35" s="26">
        <v>1</v>
      </c>
      <c r="DA35" s="26">
        <v>1</v>
      </c>
      <c r="DB35" s="26">
        <v>1</v>
      </c>
      <c r="DC35" s="26">
        <v>8</v>
      </c>
      <c r="DD35" s="26">
        <v>7</v>
      </c>
      <c r="DE35" s="26">
        <v>2</v>
      </c>
      <c r="DF35" s="26">
        <v>1</v>
      </c>
      <c r="DG35" s="26">
        <v>2</v>
      </c>
      <c r="DH35" s="26">
        <v>1</v>
      </c>
      <c r="DI35" s="26">
        <v>2</v>
      </c>
      <c r="DJ35" s="26">
        <v>1</v>
      </c>
      <c r="DK35" s="26">
        <v>5</v>
      </c>
      <c r="DL35" s="26">
        <v>13</v>
      </c>
      <c r="DM35" s="26">
        <v>7504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9"/>
  <sheetViews>
    <sheetView zoomScaleNormal="100" workbookViewId="0"/>
  </sheetViews>
  <sheetFormatPr defaultColWidth="8.6640625" defaultRowHeight="14.4" x14ac:dyDescent="0.3"/>
  <cols>
    <col min="1" max="1" width="26" customWidth="1"/>
    <col min="2" max="6" width="10" customWidth="1"/>
    <col min="7" max="7" width="12" customWidth="1"/>
  </cols>
  <sheetData>
    <row r="1" spans="1:7" ht="17.399999999999999" x14ac:dyDescent="0.3">
      <c r="A1" s="1" t="s">
        <v>303</v>
      </c>
    </row>
    <row r="2" spans="1:7" x14ac:dyDescent="0.3">
      <c r="A2" s="2" t="s">
        <v>304</v>
      </c>
    </row>
    <row r="4" spans="1:7" x14ac:dyDescent="0.3">
      <c r="A4" s="3" t="s">
        <v>305</v>
      </c>
      <c r="B4" s="3" t="s">
        <v>306</v>
      </c>
      <c r="C4" s="18" t="s">
        <v>307</v>
      </c>
      <c r="D4" s="18" t="s">
        <v>308</v>
      </c>
      <c r="E4" s="18" t="s">
        <v>309</v>
      </c>
      <c r="F4" s="18" t="s">
        <v>310</v>
      </c>
      <c r="G4" s="18" t="s">
        <v>311</v>
      </c>
    </row>
    <row r="5" spans="1:7" x14ac:dyDescent="0.3">
      <c r="A5" s="4" t="s">
        <v>312</v>
      </c>
      <c r="B5" s="12">
        <v>0.22</v>
      </c>
      <c r="C5" s="22">
        <v>2</v>
      </c>
      <c r="D5" s="22">
        <v>2</v>
      </c>
      <c r="E5" s="22">
        <v>1</v>
      </c>
      <c r="F5" s="22">
        <v>1</v>
      </c>
      <c r="G5" s="22">
        <v>5</v>
      </c>
    </row>
    <row r="6" spans="1:7" x14ac:dyDescent="0.3">
      <c r="A6" s="4" t="s">
        <v>313</v>
      </c>
      <c r="B6" s="12">
        <v>0.2</v>
      </c>
      <c r="C6" s="22">
        <v>3</v>
      </c>
      <c r="D6" s="22">
        <v>4</v>
      </c>
      <c r="E6" s="22">
        <v>2</v>
      </c>
      <c r="F6" s="22">
        <v>2</v>
      </c>
      <c r="G6" s="22">
        <v>5</v>
      </c>
    </row>
    <row r="7" spans="1:7" x14ac:dyDescent="0.3">
      <c r="A7" s="4" t="s">
        <v>314</v>
      </c>
      <c r="B7" s="12">
        <v>0.15</v>
      </c>
      <c r="C7" s="22">
        <v>3</v>
      </c>
      <c r="D7" s="22">
        <v>2</v>
      </c>
      <c r="E7" s="22">
        <v>2</v>
      </c>
      <c r="F7" s="22">
        <v>3</v>
      </c>
      <c r="G7" s="22">
        <v>4</v>
      </c>
    </row>
    <row r="8" spans="1:7" x14ac:dyDescent="0.3">
      <c r="A8" s="4" t="s">
        <v>315</v>
      </c>
      <c r="B8" s="12">
        <v>0.15</v>
      </c>
      <c r="C8" s="22">
        <v>3</v>
      </c>
      <c r="D8" s="22">
        <v>4</v>
      </c>
      <c r="E8" s="22">
        <v>3</v>
      </c>
      <c r="F8" s="22">
        <v>4</v>
      </c>
      <c r="G8" s="22">
        <v>4</v>
      </c>
    </row>
    <row r="9" spans="1:7" x14ac:dyDescent="0.3">
      <c r="A9" s="4" t="s">
        <v>316</v>
      </c>
      <c r="B9" s="12">
        <v>0.18</v>
      </c>
      <c r="C9" s="22">
        <v>5</v>
      </c>
      <c r="D9" s="22">
        <v>5</v>
      </c>
      <c r="E9" s="22">
        <v>2</v>
      </c>
      <c r="F9" s="22">
        <v>4</v>
      </c>
      <c r="G9" s="22">
        <v>3</v>
      </c>
    </row>
    <row r="10" spans="1:7" x14ac:dyDescent="0.3">
      <c r="A10" s="4" t="s">
        <v>317</v>
      </c>
      <c r="B10" s="12">
        <v>0.1</v>
      </c>
      <c r="C10" s="22">
        <v>2</v>
      </c>
      <c r="D10" s="22">
        <v>2</v>
      </c>
      <c r="E10" s="22">
        <v>4</v>
      </c>
      <c r="F10" s="22">
        <v>5</v>
      </c>
      <c r="G10" s="22">
        <v>5</v>
      </c>
    </row>
    <row r="12" spans="1:7" x14ac:dyDescent="0.3">
      <c r="A12" s="3" t="s">
        <v>318</v>
      </c>
      <c r="C12" s="23">
        <f>SUMPRODUCT($B$5:$B$10,C5:C10)</f>
        <v>3.04</v>
      </c>
      <c r="D12" s="23">
        <f>SUMPRODUCT($B$5:$B$10,D5:D10)</f>
        <v>3.24</v>
      </c>
      <c r="E12" s="23">
        <f>SUMPRODUCT($B$5:$B$10,E5:E10)</f>
        <v>2.13</v>
      </c>
      <c r="F12" s="23">
        <f>SUMPRODUCT($B$5:$B$10,F5:F10)</f>
        <v>2.8899999999999997</v>
      </c>
      <c r="G12" s="23">
        <f>SUMPRODUCT($B$5:$B$10,G5:G10)</f>
        <v>4.34</v>
      </c>
    </row>
    <row r="14" spans="1:7" x14ac:dyDescent="0.3">
      <c r="A14" s="3" t="s">
        <v>319</v>
      </c>
      <c r="D14" s="3" t="s">
        <v>320</v>
      </c>
      <c r="E14" s="3" t="s">
        <v>321</v>
      </c>
    </row>
    <row r="15" spans="1:7" x14ac:dyDescent="0.3">
      <c r="A15" s="4" t="s">
        <v>322</v>
      </c>
      <c r="B15" s="22" t="s">
        <v>311</v>
      </c>
      <c r="D15" s="4" t="s">
        <v>307</v>
      </c>
      <c r="E15" s="23">
        <f>C12</f>
        <v>3.04</v>
      </c>
    </row>
    <row r="16" spans="1:7" x14ac:dyDescent="0.3">
      <c r="A16" s="4" t="s">
        <v>323</v>
      </c>
      <c r="B16" s="23">
        <f>INDEX(C12:G12,MATCH(B15,C4:G4,0))</f>
        <v>4.34</v>
      </c>
      <c r="D16" s="4" t="s">
        <v>308</v>
      </c>
      <c r="E16" s="23">
        <f>D12</f>
        <v>3.24</v>
      </c>
    </row>
    <row r="17" spans="1:5" x14ac:dyDescent="0.3">
      <c r="D17" s="4" t="s">
        <v>309</v>
      </c>
      <c r="E17" s="23">
        <f>E12</f>
        <v>2.13</v>
      </c>
    </row>
    <row r="18" spans="1:5" x14ac:dyDescent="0.3">
      <c r="A18" s="4" t="s">
        <v>324</v>
      </c>
      <c r="B18" s="23">
        <f>VLOOKUP(B15,D15:E19,2,FALSE())</f>
        <v>4.34</v>
      </c>
      <c r="D18" s="4" t="s">
        <v>310</v>
      </c>
      <c r="E18" s="23">
        <f>F12</f>
        <v>2.8899999999999997</v>
      </c>
    </row>
    <row r="19" spans="1:5" x14ac:dyDescent="0.3">
      <c r="D19" s="4" t="s">
        <v>311</v>
      </c>
      <c r="E19" s="23">
        <f>G12</f>
        <v>4.34</v>
      </c>
    </row>
  </sheetData>
  <conditionalFormatting sqref="C5:G10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4"/>
  <sheetViews>
    <sheetView zoomScaleNormal="100" workbookViewId="0"/>
  </sheetViews>
  <sheetFormatPr defaultColWidth="8.6640625" defaultRowHeight="14.4" x14ac:dyDescent="0.3"/>
  <cols>
    <col min="1" max="1" width="22" customWidth="1"/>
    <col min="2" max="2" width="18" customWidth="1"/>
    <col min="3" max="3" width="14" customWidth="1"/>
    <col min="4" max="4" width="12" customWidth="1"/>
    <col min="5" max="5" width="14" customWidth="1"/>
    <col min="6" max="6" width="16" customWidth="1"/>
  </cols>
  <sheetData>
    <row r="1" spans="1:6" ht="17.399999999999999" x14ac:dyDescent="0.3">
      <c r="A1" s="1" t="s">
        <v>325</v>
      </c>
    </row>
    <row r="2" spans="1:6" x14ac:dyDescent="0.3">
      <c r="A2" s="2" t="s">
        <v>326</v>
      </c>
    </row>
    <row r="4" spans="1:6" x14ac:dyDescent="0.3">
      <c r="A4" s="3" t="s">
        <v>327</v>
      </c>
      <c r="B4" s="3" t="s">
        <v>328</v>
      </c>
      <c r="C4" s="3" t="s">
        <v>329</v>
      </c>
      <c r="D4" s="3" t="s">
        <v>330</v>
      </c>
      <c r="E4" s="3" t="s">
        <v>331</v>
      </c>
      <c r="F4" s="3" t="s">
        <v>332</v>
      </c>
    </row>
    <row r="5" spans="1:6" x14ac:dyDescent="0.3">
      <c r="A5" s="4" t="s">
        <v>333</v>
      </c>
      <c r="B5" s="4" t="s">
        <v>334</v>
      </c>
      <c r="C5" s="15">
        <v>320</v>
      </c>
      <c r="D5" s="12">
        <v>0.08</v>
      </c>
      <c r="E5" s="15">
        <v>600</v>
      </c>
      <c r="F5" s="14">
        <f>C5*100000*D5*E5/10000000</f>
        <v>153.6</v>
      </c>
    </row>
    <row r="6" spans="1:6" x14ac:dyDescent="0.3">
      <c r="A6" s="4" t="s">
        <v>335</v>
      </c>
      <c r="B6" s="4" t="s">
        <v>336</v>
      </c>
      <c r="C6" s="15">
        <v>140</v>
      </c>
      <c r="D6" s="12">
        <v>0.1</v>
      </c>
      <c r="E6" s="15">
        <v>900</v>
      </c>
      <c r="F6" s="14">
        <f>C6*100000*D6*E6/10000000</f>
        <v>126</v>
      </c>
    </row>
    <row r="7" spans="1:6" x14ac:dyDescent="0.3">
      <c r="A7" s="4" t="s">
        <v>337</v>
      </c>
      <c r="B7" s="4" t="s">
        <v>338</v>
      </c>
      <c r="C7" s="15">
        <v>60</v>
      </c>
      <c r="D7" s="12">
        <v>0.06</v>
      </c>
      <c r="E7" s="15">
        <v>1500</v>
      </c>
      <c r="F7" s="14">
        <f>C7*100000*D7*E7/10000000</f>
        <v>54</v>
      </c>
    </row>
    <row r="9" spans="1:6" x14ac:dyDescent="0.3">
      <c r="A9" s="4" t="s">
        <v>339</v>
      </c>
      <c r="F9" s="14">
        <f>SUM(F5:F7)</f>
        <v>333.6</v>
      </c>
    </row>
    <row r="11" spans="1:6" x14ac:dyDescent="0.3">
      <c r="A11" s="3" t="s">
        <v>340</v>
      </c>
    </row>
    <row r="12" spans="1:6" x14ac:dyDescent="0.3">
      <c r="A12" s="4" t="s">
        <v>327</v>
      </c>
      <c r="B12" s="22" t="s">
        <v>335</v>
      </c>
    </row>
    <row r="13" spans="1:6" x14ac:dyDescent="0.3">
      <c r="A13" s="4" t="s">
        <v>341</v>
      </c>
      <c r="B13" s="4" t="str">
        <f>VLOOKUP(B12,A5:F7,2,FALSE())</f>
        <v>Career switcher</v>
      </c>
    </row>
    <row r="14" spans="1:6" x14ac:dyDescent="0.3">
      <c r="A14" s="4" t="s">
        <v>342</v>
      </c>
      <c r="B14" s="14">
        <f>VLOOKUP(B12,A5:F7,6,FALSE())</f>
        <v>126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4"/>
  <sheetViews>
    <sheetView zoomScaleNormal="100" workbookViewId="0"/>
  </sheetViews>
  <sheetFormatPr defaultColWidth="8.6640625" defaultRowHeight="14.4" x14ac:dyDescent="0.3"/>
  <cols>
    <col min="1" max="1" width="40" customWidth="1"/>
    <col min="2" max="3" width="12" customWidth="1"/>
    <col min="4" max="5" width="14" customWidth="1"/>
  </cols>
  <sheetData>
    <row r="1" spans="1:9" ht="17.399999999999999" x14ac:dyDescent="0.3">
      <c r="A1" s="1" t="s">
        <v>343</v>
      </c>
    </row>
    <row r="2" spans="1:9" x14ac:dyDescent="0.3">
      <c r="A2" s="2" t="s">
        <v>344</v>
      </c>
    </row>
    <row r="4" spans="1:9" x14ac:dyDescent="0.3">
      <c r="A4" s="3" t="s">
        <v>345</v>
      </c>
      <c r="B4" s="18" t="s">
        <v>346</v>
      </c>
      <c r="C4" s="18" t="s">
        <v>347</v>
      </c>
      <c r="D4" s="18" t="s">
        <v>348</v>
      </c>
      <c r="E4" s="18" t="s">
        <v>349</v>
      </c>
      <c r="H4" s="3" t="s">
        <v>350</v>
      </c>
      <c r="I4" s="3" t="s">
        <v>349</v>
      </c>
    </row>
    <row r="5" spans="1:9" x14ac:dyDescent="0.3">
      <c r="A5" s="21" t="s">
        <v>351</v>
      </c>
      <c r="H5" s="12">
        <v>0</v>
      </c>
      <c r="I5" s="4" t="s">
        <v>352</v>
      </c>
    </row>
    <row r="6" spans="1:9" x14ac:dyDescent="0.3">
      <c r="A6" s="4" t="s">
        <v>353</v>
      </c>
      <c r="B6" s="15">
        <v>9000</v>
      </c>
      <c r="C6" s="15">
        <v>9014</v>
      </c>
      <c r="D6" s="13">
        <f>C6/B6</f>
        <v>1.0015555555555555</v>
      </c>
      <c r="E6" s="4" t="str">
        <f>VLOOKUP(D6,$H$5:$I$7,2,TRUE())</f>
        <v>On track</v>
      </c>
      <c r="H6" s="12">
        <v>0.7</v>
      </c>
      <c r="I6" s="4" t="s">
        <v>354</v>
      </c>
    </row>
    <row r="7" spans="1:9" x14ac:dyDescent="0.3">
      <c r="A7" s="4" t="s">
        <v>355</v>
      </c>
      <c r="B7" s="15">
        <v>6</v>
      </c>
      <c r="C7" s="15">
        <v>8</v>
      </c>
      <c r="D7" s="13">
        <f>C7/B7</f>
        <v>1.3333333333333333</v>
      </c>
      <c r="E7" s="4" t="str">
        <f>VLOOKUP(D7,$H$5:$I$7,2,TRUE())</f>
        <v>On track</v>
      </c>
      <c r="H7" s="12">
        <v>0.95</v>
      </c>
      <c r="I7" s="4" t="s">
        <v>356</v>
      </c>
    </row>
    <row r="8" spans="1:9" x14ac:dyDescent="0.3">
      <c r="A8" s="4" t="s">
        <v>357</v>
      </c>
      <c r="B8" s="12">
        <v>0.15</v>
      </c>
      <c r="C8" s="12">
        <v>0.13500000000000001</v>
      </c>
      <c r="D8" s="13">
        <f>B8/C8</f>
        <v>1.1111111111111109</v>
      </c>
      <c r="E8" s="4" t="str">
        <f>VLOOKUP(D8,$H$5:$I$7,2,TRUE())</f>
        <v>On track</v>
      </c>
    </row>
    <row r="9" spans="1:9" x14ac:dyDescent="0.3">
      <c r="A9" s="21" t="s">
        <v>358</v>
      </c>
    </row>
    <row r="10" spans="1:9" x14ac:dyDescent="0.3">
      <c r="A10" s="4" t="s">
        <v>359</v>
      </c>
      <c r="B10" s="12">
        <v>0.05</v>
      </c>
      <c r="C10" s="12">
        <v>0.10299999999999999</v>
      </c>
      <c r="D10" s="13">
        <f>C10/B10</f>
        <v>2.0599999999999996</v>
      </c>
      <c r="E10" s="4" t="str">
        <f>VLOOKUP(D10,$H$5:$I$7,2,TRUE())</f>
        <v>On track</v>
      </c>
    </row>
    <row r="11" spans="1:9" x14ac:dyDescent="0.3">
      <c r="A11" s="4" t="s">
        <v>360</v>
      </c>
      <c r="B11" s="12">
        <v>0.95</v>
      </c>
      <c r="C11" s="12">
        <v>0.98599999999999999</v>
      </c>
      <c r="D11" s="13">
        <f>C11/B11</f>
        <v>1.0378947368421052</v>
      </c>
      <c r="E11" s="4" t="str">
        <f>VLOOKUP(D11,$H$5:$I$7,2,TRUE())</f>
        <v>On track</v>
      </c>
    </row>
    <row r="12" spans="1:9" x14ac:dyDescent="0.3">
      <c r="A12" s="21" t="s">
        <v>361</v>
      </c>
    </row>
    <row r="13" spans="1:9" x14ac:dyDescent="0.3">
      <c r="A13" s="4" t="s">
        <v>362</v>
      </c>
      <c r="B13" s="15">
        <v>2</v>
      </c>
      <c r="C13" s="15">
        <v>2</v>
      </c>
      <c r="D13" s="13">
        <f>C13/B13</f>
        <v>1</v>
      </c>
      <c r="E13" s="4" t="str">
        <f>VLOOKUP(D13,$H$5:$I$7,2,TRUE())</f>
        <v>On track</v>
      </c>
    </row>
    <row r="14" spans="1:9" x14ac:dyDescent="0.3">
      <c r="A14" s="4" t="s">
        <v>363</v>
      </c>
      <c r="B14" s="15">
        <v>100</v>
      </c>
      <c r="C14" s="15">
        <v>5.99</v>
      </c>
      <c r="D14" s="13">
        <f>B14/C14</f>
        <v>16.694490818030051</v>
      </c>
      <c r="E14" s="4" t="str">
        <f>VLOOKUP(D14,$H$5:$I$7,2,TRUE())</f>
        <v>On track</v>
      </c>
    </row>
  </sheetData>
  <conditionalFormatting sqref="D5:D14">
    <cfRule type="cellIs" dxfId="2" priority="2" operator="greaterThanOrEqual">
      <formula>0.95</formula>
    </cfRule>
    <cfRule type="cellIs" dxfId="1" priority="3" operator="between">
      <formula>0.7</formula>
      <formula>0.9499</formula>
    </cfRule>
    <cfRule type="cellIs" dxfId="0" priority="4" operator="lessThan">
      <formula>0.7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15</vt:i4>
      </vt:variant>
    </vt:vector>
  </HeadingPairs>
  <TitlesOfParts>
    <vt:vector size="28" baseType="lpstr">
      <vt:lpstr>Summary</vt:lpstr>
      <vt:lpstr>Market_Sizing</vt:lpstr>
      <vt:lpstr>Financials</vt:lpstr>
      <vt:lpstr>Scenarios</vt:lpstr>
      <vt:lpstr>Cohorts</vt:lpstr>
      <vt:lpstr>Cohort_Pivot</vt:lpstr>
      <vt:lpstr>Funnel_Analysis</vt:lpstr>
      <vt:lpstr>Funnel_Pivot</vt:lpstr>
      <vt:lpstr>Skill_Demand</vt:lpstr>
      <vt:lpstr>Skills_Pivot</vt:lpstr>
      <vt:lpstr>Competitive_Landscape</vt:lpstr>
      <vt:lpstr>Persona_Sizing</vt:lpstr>
      <vt:lpstr>OKRs</vt:lpstr>
      <vt:lpstr>AB_Lift</vt:lpstr>
      <vt:lpstr>AB_Prob</vt:lpstr>
      <vt:lpstr>adoption</vt:lpstr>
      <vt:lpstr>dup_rate</vt:lpstr>
      <vt:lpstr>freshness</vt:lpstr>
      <vt:lpstr>IRR_Project</vt:lpstr>
      <vt:lpstr>JA_Score</vt:lpstr>
      <vt:lpstr>jobs_indexed</vt:lpstr>
      <vt:lpstr>match_p95</vt:lpstr>
      <vt:lpstr>NPV_Enterprise</vt:lpstr>
      <vt:lpstr>SOM_value</vt:lpstr>
      <vt:lpstr>take_rate</vt:lpstr>
      <vt:lpstr>TAM</vt:lpstr>
      <vt:lpstr>WACC</vt:lpstr>
      <vt:lpstr>YoY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Ayush Gupta</cp:lastModifiedBy>
  <cp:revision>0</cp:revision>
  <dcterms:created xsi:type="dcterms:W3CDTF">2026-06-05T00:31:25Z</dcterms:created>
  <dcterms:modified xsi:type="dcterms:W3CDTF">2026-06-05T01:40:41Z</dcterms:modified>
  <dc:language>en-US</dc:language>
</cp:coreProperties>
</file>